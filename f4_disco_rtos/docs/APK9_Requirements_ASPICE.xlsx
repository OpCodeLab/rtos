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afety Analysis" sheetId="2" state="visible" r:id="rId2"/>
    <sheet xmlns:r="http://schemas.openxmlformats.org/officeDocument/2006/relationships" name="System Requirements" sheetId="3" state="visible" r:id="rId3"/>
    <sheet xmlns:r="http://schemas.openxmlformats.org/officeDocument/2006/relationships" name="SW Requirements" sheetId="4" state="visible" r:id="rId4"/>
    <sheet xmlns:r="http://schemas.openxmlformats.org/officeDocument/2006/relationships" name="SW Components" sheetId="5" state="visible" r:id="rId5"/>
    <sheet xmlns:r="http://schemas.openxmlformats.org/officeDocument/2006/relationships" name="Test Specification" sheetId="6" state="visible" r:id="rId6"/>
    <sheet xmlns:r="http://schemas.openxmlformats.org/officeDocument/2006/relationships" name="Traceability" sheetId="7" state="visible" r:id="rId7"/>
    <sheet xmlns:r="http://schemas.openxmlformats.org/officeDocument/2006/relationships" name="Dashboard" sheetId="8" state="visible" r:id="rId8"/>
  </sheets>
  <definedNames>
    <definedName name="_xlnm._FilterDatabase" localSheetId="2" hidden="1">'System Requirements'!$A$4:$I$12</definedName>
    <definedName name="_xlnm._FilterDatabase" localSheetId="3" hidden="1">'SW Requirements'!$A$4:$O$29</definedName>
    <definedName name="_xlnm._FilterDatabase" localSheetId="4" hidden="1">'SW Components'!$A$4:$G$9</definedName>
    <definedName name="_xlnm._FilterDatabase" localSheetId="5" hidden="1">'Test Specification'!$A$4:$K$12</definedName>
    <definedName name="_xlnm._FilterDatabase" localSheetId="6" hidden="1">'Traceability'!$A$4:$L$29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i val="1"/>
      <color rgb="00595959"/>
      <sz val="11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b val="1"/>
      <color rgb="001F3864"/>
      <sz val="14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0" fillId="0" borderId="4" pivotButton="0" quotePrefix="0" xfId="0"/>
    <xf numFmtId="0" fontId="5" fillId="0" borderId="0" pivotButton="0" quotePrefix="0" xfId="0"/>
    <xf numFmtId="0" fontId="6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textRotation="90"/>
    </xf>
    <xf numFmtId="0" fontId="3" fillId="0" borderId="1" applyAlignment="1" pivotButton="0" quotePrefix="0" xfId="0">
      <alignment horizontal="center" vertical="top" wrapText="1"/>
    </xf>
    <xf numFmtId="0" fontId="3" fillId="0" borderId="1" pivotButton="0" quotePrefix="0" xfId="0"/>
    <xf numFmtId="9" fontId="4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BDD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D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APK9 - Simple Safety: Water Heater NORMAL / SAFE</t>
        </is>
      </c>
    </row>
    <row r="2">
      <c r="A2" s="2" t="inlineStr">
        <is>
          <t>Software Requirements Specification (ASPICE SYS.2 / SWE.1 / SWE.6 traceability)</t>
        </is>
      </c>
    </row>
    <row r="4">
      <c r="A4" s="3" t="inlineStr">
        <is>
          <t>Document ID</t>
        </is>
      </c>
      <c r="B4" s="4" t="inlineStr">
        <is>
          <t>APK9-SRS-001</t>
        </is>
      </c>
      <c r="C4" s="5" t="n"/>
    </row>
    <row r="5">
      <c r="A5" s="3" t="inlineStr">
        <is>
          <t>Version</t>
        </is>
      </c>
      <c r="B5" s="4" t="inlineStr">
        <is>
          <t>1.0</t>
        </is>
      </c>
      <c r="C5" s="5" t="n"/>
    </row>
    <row r="6">
      <c r="A6" s="3" t="inlineStr">
        <is>
          <t>Date</t>
        </is>
      </c>
      <c r="B6" s="4" t="inlineStr">
        <is>
          <t>2026-10-17</t>
        </is>
      </c>
      <c r="C6" s="5" t="n"/>
    </row>
    <row r="7">
      <c r="A7" s="3" t="inlineStr">
        <is>
          <t>Author</t>
        </is>
      </c>
      <c r="B7" s="4" t="inlineStr">
        <is>
          <t>M. Hanzouti</t>
        </is>
      </c>
      <c r="C7" s="5" t="n"/>
    </row>
    <row r="8">
      <c r="A8" s="3" t="inlineStr">
        <is>
          <t>Project</t>
        </is>
      </c>
      <c r="B8" s="4" t="inlineStr">
        <is>
          <t>f4_disco_rtos - RTOS training</t>
        </is>
      </c>
      <c r="C8" s="5" t="n"/>
    </row>
    <row r="9">
      <c r="A9" s="3" t="inlineStr">
        <is>
          <t>Target</t>
        </is>
      </c>
      <c r="B9" s="4" t="inlineStr">
        <is>
          <t>STM32F407G-DISC1, FreeRTOS</t>
        </is>
      </c>
      <c r="C9" s="5" t="n"/>
    </row>
    <row r="10">
      <c r="A10" s="3" t="inlineStr">
        <is>
          <t>Tools</t>
        </is>
      </c>
      <c r="B10" s="4" t="inlineStr">
        <is>
          <t>STM32CubeIDE, tools/apk9_gui.py (sensor + actuators + faults)</t>
        </is>
      </c>
      <c r="C10" s="5" t="n"/>
    </row>
    <row r="11">
      <c r="A11" s="3" t="inlineStr">
        <is>
          <t>Type</t>
        </is>
      </c>
      <c r="B11" s="4" t="inlineStr">
        <is>
          <t>Simplified safety lab - 2 modes, 4 errors, 1 output writer</t>
        </is>
      </c>
      <c r="C11" s="5" t="n"/>
    </row>
    <row r="12">
      <c r="A12" s="3" t="inlineStr">
        <is>
          <t>Document status</t>
        </is>
      </c>
      <c r="B12" s="4" t="inlineStr">
        <is>
          <t>Draft</t>
        </is>
      </c>
      <c r="C12" s="5" t="n"/>
    </row>
    <row r="14">
      <c r="A14" s="6" t="inlineStr">
        <is>
          <t>Revision history</t>
        </is>
      </c>
    </row>
    <row r="15">
      <c r="A15" s="7" t="inlineStr">
        <is>
          <t>Version</t>
        </is>
      </c>
      <c r="B15" s="7" t="inlineStr">
        <is>
          <t>Date</t>
        </is>
      </c>
      <c r="C15" s="7" t="inlineStr">
        <is>
          <t>Author</t>
        </is>
      </c>
      <c r="D15" s="7" t="inlineStr">
        <is>
          <t>Change</t>
        </is>
      </c>
    </row>
    <row r="16">
      <c r="A16" s="4" t="inlineStr">
        <is>
          <t>1.0</t>
        </is>
      </c>
      <c r="B16" s="4" t="inlineStr">
        <is>
          <t>2026-10-17</t>
        </is>
      </c>
      <c r="C16" s="4" t="inlineStr">
        <is>
          <t>M. Hanzouti</t>
        </is>
      </c>
      <c r="D16" s="4" t="inlineStr">
        <is>
          <t>Initial version</t>
        </is>
      </c>
    </row>
    <row r="20">
      <c r="A20" s="6" t="inlineStr">
        <is>
          <t>Sheets</t>
        </is>
      </c>
    </row>
    <row r="21">
      <c r="A21" s="8" t="inlineStr">
        <is>
          <t>System Requirements</t>
        </is>
      </c>
      <c r="B21" s="9" t="inlineStr">
        <is>
          <t>SYS.2 - system requirements derived from the training goals.</t>
        </is>
      </c>
    </row>
    <row r="22">
      <c r="A22" s="8" t="inlineStr">
        <is>
          <t>SW Requirements</t>
        </is>
      </c>
      <c r="B22" s="9" t="inlineStr">
        <is>
          <t>SWE.1 - software requirements, attributes, parent link, allocation, verification.</t>
        </is>
      </c>
    </row>
    <row r="23">
      <c r="A23" s="8" t="inlineStr">
        <is>
          <t>Safety Analysis</t>
        </is>
      </c>
      <c r="B23" s="9" t="inlineStr">
        <is>
          <t>Fault -&gt; error -&gt; detection -&gt; reaction -&gt; failure prevented; modes; frames.</t>
        </is>
      </c>
    </row>
    <row r="24">
      <c r="A24" s="8" t="inlineStr">
        <is>
          <t>SW Components</t>
        </is>
      </c>
      <c r="B24" s="9" t="inlineStr">
        <is>
          <t>SWE.2 - software architecture elements requirements are allocated to.</t>
        </is>
      </c>
    </row>
    <row r="25">
      <c r="A25" s="8" t="inlineStr">
        <is>
          <t>Test Specification</t>
        </is>
      </c>
      <c r="B25" s="9" t="inlineStr">
        <is>
          <t>SWE.6 - test cases with expected results; Result column to fill in.</t>
        </is>
      </c>
    </row>
    <row r="26">
      <c r="A26" s="8" t="inlineStr">
        <is>
          <t>Traceability</t>
        </is>
      </c>
      <c r="B26" s="9" t="inlineStr">
        <is>
          <t>SW requirement x test case matrix with coverage check.</t>
        </is>
      </c>
    </row>
    <row r="27">
      <c r="A27" s="8" t="inlineStr">
        <is>
          <t>Dashboard</t>
        </is>
      </c>
      <c r="B27" s="9" t="inlineStr">
        <is>
          <t>Live counts: status, type, verification coverage, test results.</t>
        </is>
      </c>
    </row>
    <row r="29">
      <c r="A29" s="6" t="inlineStr">
        <is>
          <t>Legend</t>
        </is>
      </c>
    </row>
    <row r="30">
      <c r="A30" s="10" t="inlineStr">
        <is>
          <t>Yellow cells</t>
        </is>
      </c>
      <c r="B30" s="9" t="inlineStr">
        <is>
          <t>Editable attributes with a drop-down list (Status, Priority, Method, Result).</t>
        </is>
      </c>
    </row>
    <row r="31">
      <c r="A31" s="8" t="inlineStr">
        <is>
          <t>'shall'</t>
        </is>
      </c>
      <c r="B31" s="9" t="inlineStr">
        <is>
          <t>Mandatory requirement wording; one 'shall' per requirement.</t>
        </is>
      </c>
    </row>
    <row r="32">
      <c r="A32" s="8" t="inlineStr">
        <is>
          <t>Status</t>
        </is>
      </c>
      <c r="B32" s="9" t="inlineStr">
        <is>
          <t>Draft &gt; In review &gt; Accepted (or Rejected / Deferred).</t>
        </is>
      </c>
    </row>
    <row r="33">
      <c r="A33" s="8" t="inlineStr">
        <is>
          <t>Verification method</t>
        </is>
      </c>
      <c r="B33" s="9" t="inlineStr">
        <is>
          <t>Test, Analysis, Review, Inspection, Demonstration.</t>
        </is>
      </c>
    </row>
  </sheetData>
  <mergeCells count="9">
    <mergeCell ref="B6:C6"/>
    <mergeCell ref="B7:C7"/>
    <mergeCell ref="B11:C11"/>
    <mergeCell ref="B5:C5"/>
    <mergeCell ref="B10:C10"/>
    <mergeCell ref="B9:C9"/>
    <mergeCell ref="B8:C8"/>
    <mergeCell ref="B4:C4"/>
    <mergeCell ref="B12:C12"/>
  </mergeCells>
  <pageMargins left="0.75" right="0.75" top="1" bottom="1" header="0.5" footer="0.5"/>
  <pageSetup orientation="landscape" fitToHeight="0" fitToWidth="1"/>
  <headerFooter>
    <oddHeader/>
    <oddFooter>&amp;LAPK9-SRS-001 v1.0&amp;RPage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F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44" customWidth="1" min="4" max="4"/>
    <col width="30" customWidth="1" min="5" max="5"/>
    <col width="22" customWidth="1" min="6" max="6"/>
    <col width="22" customWidth="1" min="7" max="7"/>
  </cols>
  <sheetData>
    <row r="1">
      <c r="A1" s="11" t="inlineStr">
        <is>
          <t>Safety analysis and modes</t>
        </is>
      </c>
    </row>
    <row r="2">
      <c r="A2" s="12" t="inlineStr">
        <is>
          <t>APK9-SRS-001  |  Version 1.0  |  Architecture deals with errors and failures, not root causes</t>
        </is>
      </c>
    </row>
    <row r="4">
      <c r="A4" s="6" t="inlineStr">
        <is>
          <t>Safety analysis: Fault -&gt; Error -&gt; Reaction</t>
        </is>
      </c>
    </row>
    <row r="5">
      <c r="A5" s="13" t="inlineStr">
        <is>
          <t>Fault (root cause)</t>
        </is>
      </c>
      <c r="B5" s="13" t="inlineStr">
        <is>
          <t>Error detected</t>
        </is>
      </c>
      <c r="C5" s="13" t="inlineStr">
        <is>
          <t>Detection rule</t>
        </is>
      </c>
      <c r="D5" s="13" t="inlineStr">
        <is>
          <t>Reaction</t>
        </is>
      </c>
      <c r="E5" s="13" t="inlineStr">
        <is>
          <t>Failure prevented</t>
        </is>
      </c>
      <c r="F5" s="13" t="inlineStr">
        <is>
          <t>Requirement</t>
        </is>
      </c>
    </row>
    <row r="6">
      <c r="A6" s="14" t="inlineStr">
        <is>
          <t>Sensor wire cut</t>
        </is>
      </c>
      <c r="B6" s="14" t="inlineStr">
        <is>
          <t>ERR_SENSOR (0x01)</t>
        </is>
      </c>
      <c r="C6" s="14" t="inlineStr">
        <is>
          <t>SensorValue &gt; 120 (0xFF)</t>
        </is>
      </c>
      <c r="D6" s="14" t="inlineStr">
        <is>
          <t>SAFE: heater 0, relay open</t>
        </is>
      </c>
      <c r="E6" s="14" t="inlineStr">
        <is>
          <t>heating on an unknown T</t>
        </is>
      </c>
      <c r="F6" s="14" t="inlineStr">
        <is>
          <t>SW-REQ-007, 013</t>
        </is>
      </c>
    </row>
    <row r="7">
      <c r="A7" s="14" t="inlineStr">
        <is>
          <t>Cable / PC lost</t>
        </is>
      </c>
      <c r="B7" s="14" t="inlineStr">
        <is>
          <t>ERR_TIMEOUT (0x02)</t>
        </is>
      </c>
      <c r="C7" s="14" t="inlineStr">
        <is>
          <t>no sample for 500 ms</t>
        </is>
      </c>
      <c r="D7" s="14" t="inlineStr">
        <is>
          <t>SAFE: heater 0, relay open</t>
        </is>
      </c>
      <c r="E7" s="14" t="inlineStr">
        <is>
          <t>heating on an unknown T</t>
        </is>
      </c>
      <c r="F7" s="14" t="inlineStr">
        <is>
          <t>SW-REQ-008, 013</t>
        </is>
      </c>
    </row>
    <row r="8">
      <c r="A8" s="14" t="inlineStr">
        <is>
          <t>Heater stuck ON</t>
        </is>
      </c>
      <c r="B8" s="14" t="inlineStr">
        <is>
          <t>ERR_OVERTEMP (0x04)</t>
        </is>
      </c>
      <c r="C8" s="14" t="inlineStr">
        <is>
          <t>SensorValue &gt; 90 C</t>
        </is>
      </c>
      <c r="D8" s="14" t="inlineStr">
        <is>
          <t>SAFE: relay OPEN cuts the stuck heater</t>
        </is>
      </c>
      <c r="E8" s="14" t="inlineStr">
        <is>
          <t>heating above 95 C</t>
        </is>
      </c>
      <c r="F8" s="14" t="inlineStr">
        <is>
          <t>SW-REQ-009, 013</t>
        </is>
      </c>
    </row>
    <row r="9">
      <c r="A9" s="14" t="inlineStr">
        <is>
          <t>Software deadlock</t>
        </is>
      </c>
      <c r="B9" s="14" t="inlineStr">
        <is>
          <t>ERR_ALIVE (0x08)</t>
        </is>
      </c>
      <c r="C9" s="14" t="inlineStr">
        <is>
          <t>ControlAlive unchanged 300 ms</t>
        </is>
      </c>
      <c r="D9" s="14" t="inlineStr">
        <is>
          <t>SAFE; reset restarts the MCU</t>
        </is>
      </c>
      <c r="E9" s="14" t="inlineStr">
        <is>
          <t>heater frozen ON</t>
        </is>
      </c>
      <c r="F9" s="14" t="inlineStr">
        <is>
          <t>SW-REQ-010, 013, 016</t>
        </is>
      </c>
    </row>
    <row r="12">
      <c r="A12" s="6" t="inlineStr">
        <is>
          <t>Modes</t>
        </is>
      </c>
    </row>
    <row r="13">
      <c r="A13" s="13" t="inlineStr">
        <is>
          <t>Mode</t>
        </is>
      </c>
      <c r="B13" s="13" t="inlineStr">
        <is>
          <t>Heater</t>
        </is>
      </c>
      <c r="C13" s="13" t="inlineStr">
        <is>
          <t>Relay</t>
        </is>
      </c>
      <c r="D13" s="13" t="inlineStr">
        <is>
          <t>LED</t>
        </is>
      </c>
      <c r="E13" s="13" t="inlineStr">
        <is>
          <t>Leave on</t>
        </is>
      </c>
      <c r="F13" s="13" t="inlineStr">
        <is>
          <t>Requirement</t>
        </is>
      </c>
    </row>
    <row r="14">
      <c r="A14" s="14" t="inlineStr">
        <is>
          <t>NORMAL</t>
        </is>
      </c>
      <c r="B14" s="14">
        <f> PowerRequest (thermostat)</f>
        <v/>
      </c>
      <c r="C14" s="14" t="inlineStr">
        <is>
          <t>closed</t>
        </is>
      </c>
      <c r="D14" s="14" t="inlineStr">
        <is>
          <t>PD12 green</t>
        </is>
      </c>
      <c r="E14" s="14" t="inlineStr">
        <is>
          <t>any error -&gt; SAFE</t>
        </is>
      </c>
      <c r="F14" s="14" t="inlineStr">
        <is>
          <t>SW-REQ-012, 013</t>
        </is>
      </c>
    </row>
    <row r="15">
      <c r="A15" s="14" t="inlineStr">
        <is>
          <t>SAFE</t>
        </is>
      </c>
      <c r="B15" s="14" t="inlineStr">
        <is>
          <t>0 %</t>
        </is>
      </c>
      <c r="C15" s="14" t="inlineStr">
        <is>
          <t>open</t>
        </is>
      </c>
      <c r="D15" s="14" t="inlineStr">
        <is>
          <t>PD14 red</t>
        </is>
      </c>
      <c r="E15" s="14" t="inlineStr">
        <is>
          <t>RESET_REQ + fresh valid T &lt; 60 C -&gt; reboot</t>
        </is>
      </c>
      <c r="F15" s="14" t="inlineStr">
        <is>
          <t>SW-REQ-014, 015, 016</t>
        </is>
      </c>
    </row>
    <row r="18">
      <c r="A18" s="6" t="inlineStr">
        <is>
          <t>Frames</t>
        </is>
      </c>
    </row>
    <row r="19">
      <c r="A19" s="13" t="inlineStr">
        <is>
          <t>CMD</t>
        </is>
      </c>
      <c r="B19" s="13" t="inlineStr">
        <is>
          <t>Name</t>
        </is>
      </c>
      <c r="C19" s="13" t="inlineStr">
        <is>
          <t>Direction</t>
        </is>
      </c>
      <c r="D19" s="13" t="inlineStr">
        <is>
          <t>DATA</t>
        </is>
      </c>
      <c r="E19" s="13" t="inlineStr">
        <is>
          <t>Answer / meaning</t>
        </is>
      </c>
      <c r="F19" s="13" t="inlineStr">
        <is>
          <t>Requirement</t>
        </is>
      </c>
    </row>
    <row r="20">
      <c r="A20" s="14" t="inlineStr">
        <is>
          <t>0x60</t>
        </is>
      </c>
      <c r="B20" s="14" t="inlineStr">
        <is>
          <t>SENSOR_TEMP</t>
        </is>
      </c>
      <c r="C20" s="14" t="inlineStr">
        <is>
          <t>PC -&gt; STM32</t>
        </is>
      </c>
      <c r="D20" s="14" t="inlineStr">
        <is>
          <t>C, 0xFF = broken</t>
        </is>
      </c>
      <c r="E20" s="14" t="inlineStr">
        <is>
          <t>no answer, every 100 ms</t>
        </is>
      </c>
      <c r="F20" s="14" t="inlineStr">
        <is>
          <t>SW-REQ-002</t>
        </is>
      </c>
    </row>
    <row r="21">
      <c r="A21" s="14" t="inlineStr">
        <is>
          <t>0x62</t>
        </is>
      </c>
      <c r="B21" s="14" t="inlineStr">
        <is>
          <t>RESET_REQ</t>
        </is>
      </c>
      <c r="C21" s="14" t="inlineStr">
        <is>
          <t>PC -&gt; STM32</t>
        </is>
      </c>
      <c r="D21" s="14" t="inlineStr">
        <is>
          <t>0</t>
        </is>
      </c>
      <c r="E21" s="14" t="inlineStr">
        <is>
          <t>E2 00 reboot / E2 E6 refused</t>
        </is>
      </c>
      <c r="F21" s="14" t="inlineStr">
        <is>
          <t>SW-REQ-015</t>
        </is>
      </c>
    </row>
    <row r="22">
      <c r="A22" s="14" t="inlineStr">
        <is>
          <t>0x63</t>
        </is>
      </c>
      <c r="B22" s="14" t="inlineStr">
        <is>
          <t>INJECT_FAULT</t>
        </is>
      </c>
      <c r="C22" s="14" t="inlineStr">
        <is>
          <t>PC -&gt; STM32</t>
        </is>
      </c>
      <c r="D22" s="14" t="inlineStr">
        <is>
          <t>1 = deadlock</t>
        </is>
      </c>
      <c r="E22" s="14" t="inlineStr">
        <is>
          <t>E3 00</t>
        </is>
      </c>
      <c r="F22" s="14" t="inlineStr">
        <is>
          <t>SW-REQ-020</t>
        </is>
      </c>
    </row>
    <row r="23">
      <c r="A23" s="14" t="inlineStr">
        <is>
          <t>0x64</t>
        </is>
      </c>
      <c r="B23" s="14" t="inlineStr">
        <is>
          <t>GET_MODE</t>
        </is>
      </c>
      <c r="C23" s="14" t="inlineStr">
        <is>
          <t>PC -&gt; STM32</t>
        </is>
      </c>
      <c r="D23" s="14" t="inlineStr">
        <is>
          <t>0</t>
        </is>
      </c>
      <c r="E23" s="14" t="inlineStr">
        <is>
          <t>E4 00 NORMAL / E4 01 SAFE</t>
        </is>
      </c>
      <c r="F23" s="14" t="inlineStr">
        <is>
          <t>SW-REQ-019</t>
        </is>
      </c>
    </row>
    <row r="24">
      <c r="A24" s="14" t="inlineStr">
        <is>
          <t>0x70</t>
        </is>
      </c>
      <c r="B24" s="14" t="inlineStr">
        <is>
          <t>EVT_MODE</t>
        </is>
      </c>
      <c r="C24" s="14" t="inlineStr">
        <is>
          <t>STM32 -&gt; PC</t>
        </is>
      </c>
      <c r="D24" s="14" t="inlineStr">
        <is>
          <t>0 NORMAL, 1 SAFE</t>
        </is>
      </c>
      <c r="E24" s="14" t="inlineStr">
        <is>
          <t>mode change</t>
        </is>
      </c>
      <c r="F24" s="14" t="inlineStr">
        <is>
          <t>SW-REQ-013, 017</t>
        </is>
      </c>
    </row>
    <row r="25">
      <c r="A25" s="14" t="inlineStr">
        <is>
          <t>0x71</t>
        </is>
      </c>
      <c r="B25" s="14" t="inlineStr">
        <is>
          <t>EVT_ERROR</t>
        </is>
      </c>
      <c r="C25" s="14" t="inlineStr">
        <is>
          <t>STM32 -&gt; PC</t>
        </is>
      </c>
      <c r="D25" s="14" t="inlineStr">
        <is>
          <t>01 sensor, 02 timeout, 04 overtemp, 08 alive</t>
        </is>
      </c>
      <c r="E25" s="14" t="inlineStr">
        <is>
          <t>error detected</t>
        </is>
      </c>
      <c r="F25" s="14" t="inlineStr">
        <is>
          <t>SW-REQ-013</t>
        </is>
      </c>
    </row>
    <row r="26">
      <c r="A26" s="14" t="inlineStr">
        <is>
          <t>0x72</t>
        </is>
      </c>
      <c r="B26" s="14" t="inlineStr">
        <is>
          <t>EVT_HEATER</t>
        </is>
      </c>
      <c r="C26" s="14" t="inlineStr">
        <is>
          <t>STM32 -&gt; PC</t>
        </is>
      </c>
      <c r="D26" s="14" t="inlineStr">
        <is>
          <t>64 = 100 %, 00 = off</t>
        </is>
      </c>
      <c r="E26" s="14" t="inlineStr">
        <is>
          <t>heater change</t>
        </is>
      </c>
      <c r="F26" s="14" t="inlineStr">
        <is>
          <t>SW-REQ-018</t>
        </is>
      </c>
    </row>
    <row r="27">
      <c r="A27" s="14" t="inlineStr">
        <is>
          <t>0x73</t>
        </is>
      </c>
      <c r="B27" s="14" t="inlineStr">
        <is>
          <t>EVT_RELAY</t>
        </is>
      </c>
      <c r="C27" s="14" t="inlineStr">
        <is>
          <t>STM32 -&gt; PC</t>
        </is>
      </c>
      <c r="D27" s="14" t="inlineStr">
        <is>
          <t>01 closed, 00 open</t>
        </is>
      </c>
      <c r="E27" s="14" t="inlineStr">
        <is>
          <t>relay change</t>
        </is>
      </c>
      <c r="F27" s="14" t="inlineStr">
        <is>
          <t>SW-REQ-018</t>
        </is>
      </c>
    </row>
    <row r="28">
      <c r="A28" s="14" t="inlineStr">
        <is>
          <t>0x74</t>
        </is>
      </c>
      <c r="B28" s="14" t="inlineStr">
        <is>
          <t>EVT_BOOT</t>
        </is>
      </c>
      <c r="C28" s="14" t="inlineStr">
        <is>
          <t>STM32 -&gt; PC</t>
        </is>
      </c>
      <c r="D28" s="14" t="inlineStr">
        <is>
          <t>0</t>
        </is>
      </c>
      <c r="E28" s="14" t="inlineStr">
        <is>
          <t>firmware started</t>
        </is>
      </c>
      <c r="F28" s="14" t="inlineStr">
        <is>
          <t>SW-REQ-017</t>
        </is>
      </c>
    </row>
  </sheetData>
  <pageMargins left="0.75" right="0.75" top="1" bottom="1" header="0.5" footer="0.5"/>
  <pageSetup orientation="landscape" fitToHeight="0" fitToWidth="1"/>
  <headerFooter>
    <oddHeader/>
    <oddFooter>&amp;LAPK9-SRS-001 v1.0&amp;RPage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I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  <col width="15" customWidth="1" min="4" max="4"/>
    <col width="34" customWidth="1" min="5" max="5"/>
    <col width="10" customWidth="1" min="6" max="6"/>
    <col width="12" customWidth="1" min="7" max="7"/>
    <col width="14" customWidth="1" min="8" max="8"/>
    <col width="12" customWidth="1" min="9" max="9"/>
  </cols>
  <sheetData>
    <row r="1">
      <c r="A1" s="11" t="inlineStr">
        <is>
          <t>System Requirements (SYS.2)</t>
        </is>
      </c>
    </row>
    <row r="2">
      <c r="A2" s="12" t="inlineStr">
        <is>
          <t>APK9-SRS-001  |  Version 1.0  |  Stakeholder: RTOS training</t>
        </is>
      </c>
    </row>
    <row r="4" ht="30" customHeight="1">
      <c r="A4" s="13" t="inlineStr">
        <is>
          <t>ID</t>
        </is>
      </c>
      <c r="B4" s="13" t="inlineStr">
        <is>
          <t>Title</t>
        </is>
      </c>
      <c r="C4" s="13" t="inlineStr">
        <is>
          <t>Requirement</t>
        </is>
      </c>
      <c r="D4" s="13" t="inlineStr">
        <is>
          <t>Type</t>
        </is>
      </c>
      <c r="E4" s="13" t="inlineStr">
        <is>
          <t>Rationale</t>
        </is>
      </c>
      <c r="F4" s="13" t="inlineStr">
        <is>
          <t>Priority</t>
        </is>
      </c>
      <c r="G4" s="13" t="inlineStr">
        <is>
          <t>Status</t>
        </is>
      </c>
      <c r="H4" s="13" t="inlineStr">
        <is>
          <t>Verification method</t>
        </is>
      </c>
      <c r="I4" s="13" t="inlineStr">
        <is>
          <t># SW req linked</t>
        </is>
      </c>
    </row>
    <row r="5">
      <c r="A5" s="15" t="inlineStr">
        <is>
          <t>SYS-REQ-001</t>
        </is>
      </c>
      <c r="B5" s="14" t="inlineStr">
        <is>
          <t>Temperature control</t>
        </is>
      </c>
      <c r="C5" s="14" t="inlineStr">
        <is>
          <t>The system shall keep the water at 40 C by switching a heater on and off.</t>
        </is>
      </c>
      <c r="D5" s="15" t="inlineStr">
        <is>
          <t>Functional</t>
        </is>
      </c>
      <c r="E5" s="14" t="inlineStr">
        <is>
          <t>Main function.</t>
        </is>
      </c>
      <c r="F5" s="16" t="inlineStr">
        <is>
          <t>High</t>
        </is>
      </c>
      <c r="G5" s="16" t="inlineStr">
        <is>
          <t>Accepted</t>
        </is>
      </c>
      <c r="H5" s="16" t="inlineStr">
        <is>
          <t>Test</t>
        </is>
      </c>
      <c r="I5" s="15">
        <f>COUNTIF('SW Requirements'!$F$5:$F$200,"*"&amp;A5&amp;"*")</f>
        <v/>
      </c>
    </row>
    <row r="6">
      <c r="A6" s="17" t="inlineStr">
        <is>
          <t>SYS-REQ-002</t>
        </is>
      </c>
      <c r="B6" s="18" t="inlineStr">
        <is>
          <t>Safety goal</t>
        </is>
      </c>
      <c r="C6" s="18" t="inlineStr">
        <is>
          <t>The heater shall never be powered while the water is above 95 C or while the water temperature is unknown.</t>
        </is>
      </c>
      <c r="D6" s="17" t="inlineStr">
        <is>
          <t>Safety</t>
        </is>
      </c>
      <c r="E6" s="18" t="inlineStr">
        <is>
          <t>Burn / boiling hazard.</t>
        </is>
      </c>
      <c r="F6" s="16" t="inlineStr">
        <is>
          <t>High</t>
        </is>
      </c>
      <c r="G6" s="16" t="inlineStr">
        <is>
          <t>Accepted</t>
        </is>
      </c>
      <c r="H6" s="16" t="inlineStr">
        <is>
          <t>Test</t>
        </is>
      </c>
      <c r="I6" s="17">
        <f>COUNTIF('SW Requirements'!$F$5:$F$200,"*"&amp;A6&amp;"*")</f>
        <v/>
      </c>
    </row>
    <row r="7">
      <c r="A7" s="15" t="inlineStr">
        <is>
          <t>SYS-REQ-003</t>
        </is>
      </c>
      <c r="B7" s="14" t="inlineStr">
        <is>
          <t>Operating modes</t>
        </is>
      </c>
      <c r="C7" s="14" t="inlineStr">
        <is>
          <t>The system shall have two modes: NORMAL (control active) and SAFE (heater off, safety relay open).</t>
        </is>
      </c>
      <c r="D7" s="15" t="inlineStr">
        <is>
          <t>Safety</t>
        </is>
      </c>
      <c r="E7" s="14" t="inlineStr">
        <is>
          <t>Simple, testable safety architecture.</t>
        </is>
      </c>
      <c r="F7" s="16" t="inlineStr">
        <is>
          <t>High</t>
        </is>
      </c>
      <c r="G7" s="16" t="inlineStr">
        <is>
          <t>Accepted</t>
        </is>
      </c>
      <c r="H7" s="16" t="inlineStr">
        <is>
          <t>Test</t>
        </is>
      </c>
      <c r="I7" s="15">
        <f>COUNTIF('SW Requirements'!$F$5:$F$200,"*"&amp;A7&amp;"*")</f>
        <v/>
      </c>
    </row>
    <row r="8">
      <c r="A8" s="17" t="inlineStr">
        <is>
          <t>SYS-REQ-004</t>
        </is>
      </c>
      <c r="B8" s="18" t="inlineStr">
        <is>
          <t>Error detection</t>
        </is>
      </c>
      <c r="C8" s="18" t="inlineStr">
        <is>
          <t>The system shall detect: invalid sensor value, loss of sensor data, overtemperature and loss of the control function.</t>
        </is>
      </c>
      <c r="D8" s="17" t="inlineStr">
        <is>
          <t>Safety</t>
        </is>
      </c>
      <c r="E8" s="18" t="inlineStr">
        <is>
          <t>Every fault that can lead to the hazard.</t>
        </is>
      </c>
      <c r="F8" s="16" t="inlineStr">
        <is>
          <t>High</t>
        </is>
      </c>
      <c r="G8" s="16" t="inlineStr">
        <is>
          <t>Accepted</t>
        </is>
      </c>
      <c r="H8" s="16" t="inlineStr">
        <is>
          <t>Test</t>
        </is>
      </c>
      <c r="I8" s="17">
        <f>COUNTIF('SW Requirements'!$F$5:$F$200,"*"&amp;A8&amp;"*")</f>
        <v/>
      </c>
    </row>
    <row r="9">
      <c r="A9" s="15" t="inlineStr">
        <is>
          <t>SYS-REQ-005</t>
        </is>
      </c>
      <c r="B9" s="14" t="inlineStr">
        <is>
          <t>Safe reaction</t>
        </is>
      </c>
      <c r="C9" s="14" t="inlineStr">
        <is>
          <t>On any detected error the system shall switch the heater off, open the safety relay and enter SAFE.</t>
        </is>
      </c>
      <c r="D9" s="15" t="inlineStr">
        <is>
          <t>Safety</t>
        </is>
      </c>
      <c r="E9" s="14" t="inlineStr">
        <is>
          <t>One reaction for every error.</t>
        </is>
      </c>
      <c r="F9" s="16" t="inlineStr">
        <is>
          <t>High</t>
        </is>
      </c>
      <c r="G9" s="16" t="inlineStr">
        <is>
          <t>Accepted</t>
        </is>
      </c>
      <c r="H9" s="16" t="inlineStr">
        <is>
          <t>Test</t>
        </is>
      </c>
      <c r="I9" s="15">
        <f>COUNTIF('SW Requirements'!$F$5:$F$200,"*"&amp;A9&amp;"*")</f>
        <v/>
      </c>
    </row>
    <row r="10">
      <c r="A10" s="17" t="inlineStr">
        <is>
          <t>SYS-REQ-006</t>
        </is>
      </c>
      <c r="B10" s="18" t="inlineStr">
        <is>
          <t>Leaving SAFE</t>
        </is>
      </c>
      <c r="C10" s="18" t="inlineStr">
        <is>
          <t>The system shall leave SAFE only on an operator reset request, and only with a valid, fresh temperature below 60 C.</t>
        </is>
      </c>
      <c r="D10" s="17" t="inlineStr">
        <is>
          <t>Safety</t>
        </is>
      </c>
      <c r="E10" s="18" t="inlineStr">
        <is>
          <t>No automatic restart into a hazard.</t>
        </is>
      </c>
      <c r="F10" s="16" t="inlineStr">
        <is>
          <t>High</t>
        </is>
      </c>
      <c r="G10" s="16" t="inlineStr">
        <is>
          <t>Accepted</t>
        </is>
      </c>
      <c r="H10" s="16" t="inlineStr">
        <is>
          <t>Test</t>
        </is>
      </c>
      <c r="I10" s="17">
        <f>COUNTIF('SW Requirements'!$F$5:$F$200,"*"&amp;A10&amp;"*")</f>
        <v/>
      </c>
    </row>
    <row r="11">
      <c r="A11" s="15" t="inlineStr">
        <is>
          <t>SYS-REQ-007</t>
        </is>
      </c>
      <c r="B11" s="14" t="inlineStr">
        <is>
          <t>Diagnostics</t>
        </is>
      </c>
      <c r="C11" s="14" t="inlineStr">
        <is>
          <t>The system shall report its mode, the detected errors and the state of the heater and of the relay to the PC.</t>
        </is>
      </c>
      <c r="D11" s="15" t="inlineStr">
        <is>
          <t>Functional</t>
        </is>
      </c>
      <c r="E11" s="14" t="inlineStr">
        <is>
          <t>Observability.</t>
        </is>
      </c>
      <c r="F11" s="16" t="inlineStr">
        <is>
          <t>High</t>
        </is>
      </c>
      <c r="G11" s="16" t="inlineStr">
        <is>
          <t>Accepted</t>
        </is>
      </c>
      <c r="H11" s="16" t="inlineStr">
        <is>
          <t>Test</t>
        </is>
      </c>
      <c r="I11" s="15">
        <f>COUNTIF('SW Requirements'!$F$5:$F$200,"*"&amp;A11&amp;"*")</f>
        <v/>
      </c>
    </row>
    <row r="12">
      <c r="A12" s="17" t="inlineStr">
        <is>
          <t>SYS-REQ-008</t>
        </is>
      </c>
      <c r="B12" s="18" t="inlineStr">
        <is>
          <t>Lab plant</t>
        </is>
      </c>
      <c r="C12" s="18" t="inlineStr">
        <is>
          <t>The PC tool shall simulate the water, the temperature sensor and the faults (sensor wire cut, cable lost, heater stuck ON, software deadlock).</t>
        </is>
      </c>
      <c r="D12" s="17" t="inlineStr">
        <is>
          <t>Functional</t>
        </is>
      </c>
      <c r="E12" s="18" t="inlineStr">
        <is>
          <t>Training without hardware hazards.</t>
        </is>
      </c>
      <c r="F12" s="16" t="inlineStr">
        <is>
          <t>High</t>
        </is>
      </c>
      <c r="G12" s="16" t="inlineStr">
        <is>
          <t>Accepted</t>
        </is>
      </c>
      <c r="H12" s="16" t="inlineStr">
        <is>
          <t>Test</t>
        </is>
      </c>
      <c r="I12" s="17">
        <f>COUNTIF('SW Requirements'!$F$5:$F$200,"*"&amp;A12&amp;"*")</f>
        <v/>
      </c>
    </row>
  </sheetData>
  <autoFilter ref="A4:I12"/>
  <conditionalFormatting sqref="I5:I12">
    <cfRule type="cellIs" priority="1" operator="equal" dxfId="0">
      <formula>0</formula>
    </cfRule>
  </conditionalFormatting>
  <dataValidations count="3">
    <dataValidation sqref="F5:F12" showDropDown="0" showInputMessage="0" showErrorMessage="0" allowBlank="1" errorTitle="Invalid value" error="Pick a value from the list" type="list">
      <formula1>"High,Medium,Low"</formula1>
    </dataValidation>
    <dataValidation sqref="G5:G12" showDropDown="0" showInputMessage="0" showErrorMessage="0" allowBlank="1" errorTitle="Invalid value" error="Pick a value from the list" type="list">
      <formula1>"Draft,In review,Accepted,Rejected,Deferred"</formula1>
    </dataValidation>
    <dataValidation sqref="H5:H12" showDropDown="0" showInputMessage="0" showErrorMessage="0" allowBlank="1" errorTitle="Invalid value" error="Pick a value from the list" type="list">
      <formula1>"Test,Analysis,Review,Inspection,Demonstration"</formula1>
    </dataValidation>
  </dataValidations>
  <pageMargins left="0.75" right="0.75" top="1" bottom="1" header="0.5" footer="0.5"/>
  <pageSetup orientation="landscape" fitToHeight="0" fitToWidth="1"/>
  <headerFooter>
    <oddHeader/>
    <oddFooter>&amp;LAPK9-SRS-001 v1.0&amp;RPage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O2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58" customWidth="1" min="3" max="3"/>
    <col width="14" customWidth="1" min="4" max="4"/>
    <col width="16" customWidth="1" min="5" max="5"/>
    <col width="18" customWidth="1" min="6" max="6"/>
    <col width="30" customWidth="1" min="7" max="7"/>
    <col width="9" customWidth="1" min="8" max="8"/>
    <col width="11" customWidth="1" min="9" max="9"/>
    <col width="13" customWidth="1" min="10" max="10"/>
    <col width="36" customWidth="1" min="11" max="11"/>
    <col width="16" customWidth="1" min="12" max="12"/>
    <col width="8" customWidth="1" min="13" max="13"/>
    <col width="10" customWidth="1" min="14" max="14"/>
    <col width="20" customWidth="1" min="15" max="15"/>
  </cols>
  <sheetData>
    <row r="1">
      <c r="A1" s="11" t="inlineStr">
        <is>
          <t>Software Requirements (SWE.1)</t>
        </is>
      </c>
    </row>
    <row r="2">
      <c r="A2" s="12" t="inlineStr">
        <is>
          <t>APK9-SRS-001  |  Version 1.0  |  Parent: System Requirements  |  Allocation: SW Components</t>
        </is>
      </c>
    </row>
    <row r="4" ht="30" customHeight="1">
      <c r="A4" s="13" t="inlineStr">
        <is>
          <t>ID</t>
        </is>
      </c>
      <c r="B4" s="13" t="inlineStr">
        <is>
          <t>Title</t>
        </is>
      </c>
      <c r="C4" s="13" t="inlineStr">
        <is>
          <t>Requirement</t>
        </is>
      </c>
      <c r="D4" s="13" t="inlineStr">
        <is>
          <t>Type</t>
        </is>
      </c>
      <c r="E4" s="13" t="inlineStr">
        <is>
          <t>SW component (SWE.2)</t>
        </is>
      </c>
      <c r="F4" s="13" t="inlineStr">
        <is>
          <t>Parent SYS req</t>
        </is>
      </c>
      <c r="G4" s="13" t="inlineStr">
        <is>
          <t>Rationale</t>
        </is>
      </c>
      <c r="H4" s="13" t="inlineStr">
        <is>
          <t>Priority</t>
        </is>
      </c>
      <c r="I4" s="13" t="inlineStr">
        <is>
          <t>Status</t>
        </is>
      </c>
      <c r="J4" s="13" t="inlineStr">
        <is>
          <t>Verification method</t>
        </is>
      </c>
      <c r="K4" s="13" t="inlineStr">
        <is>
          <t>Acceptance criteria</t>
        </is>
      </c>
      <c r="L4" s="13" t="inlineStr">
        <is>
          <t>Test case(s) (SWE.6)</t>
        </is>
      </c>
      <c r="M4" s="13" t="inlineStr">
        <is>
          <t>Release</t>
        </is>
      </c>
      <c r="N4" s="13" t="inlineStr">
        <is>
          <t>Parent valid</t>
        </is>
      </c>
      <c r="O4" s="13" t="inlineStr">
        <is>
          <t>Comment</t>
        </is>
      </c>
    </row>
    <row r="5">
      <c r="A5" s="15" t="inlineStr">
        <is>
          <t>SW-REQ-001</t>
        </is>
      </c>
      <c r="B5" s="14" t="inlineStr">
        <is>
          <t>Link layer</t>
        </is>
      </c>
      <c r="C5" s="14" t="inlineStr">
        <is>
          <t>The firmware shall receive 3-byte frames (AA CMD DATA) with the APK5 RX interrupt state machine and QueueFrame, and send frames with SendFrame under xUartMutex.</t>
        </is>
      </c>
      <c r="D5" s="15" t="inlineStr">
        <is>
          <t>Interface</t>
        </is>
      </c>
      <c r="E5" s="14" t="inlineStr">
        <is>
          <t>SWC-LL</t>
        </is>
      </c>
      <c r="F5" s="14" t="inlineStr">
        <is>
          <t>SYS-REQ-007</t>
        </is>
      </c>
      <c r="G5" s="14" t="inlineStr">
        <is>
          <t>Validated in APK5.</t>
        </is>
      </c>
      <c r="H5" s="16" t="inlineStr">
        <is>
          <t>High</t>
        </is>
      </c>
      <c r="I5" s="16" t="inlineStr">
        <is>
          <t>Accepted</t>
        </is>
      </c>
      <c r="J5" s="16" t="inlineStr">
        <is>
          <t>Test</t>
        </is>
      </c>
      <c r="K5" s="14" t="inlineStr">
        <is>
          <t>PING answered: AA 01 55 -&gt; AA 81 55.</t>
        </is>
      </c>
      <c r="L5" s="14" t="inlineStr">
        <is>
          <t>TC-01</t>
        </is>
      </c>
      <c r="M5" s="15" t="inlineStr">
        <is>
          <t>R1.0</t>
        </is>
      </c>
      <c r="N5" s="15">
        <f>IF(ISNUMBER(MATCH(LEFT(F5,11),'System Requirements'!$A$5:$A$12,0)),"OK","MISSING")</f>
        <v/>
      </c>
      <c r="O5" s="14" t="inlineStr"/>
    </row>
    <row r="6">
      <c r="A6" s="17" t="inlineStr">
        <is>
          <t>SW-REQ-002</t>
        </is>
      </c>
      <c r="B6" s="18" t="inlineStr">
        <is>
          <t>Sensor input</t>
        </is>
      </c>
      <c r="C6" s="18" t="inlineStr">
        <is>
          <t>On SENSOR_TEMP (AA 60 TT) the LinkLayer shall store SensorValue = TT and SensorTick = now, set SensorSeen, and send no answer.</t>
        </is>
      </c>
      <c r="D6" s="17" t="inlineStr">
        <is>
          <t>Functional</t>
        </is>
      </c>
      <c r="E6" s="18" t="inlineStr">
        <is>
          <t>SWC-LL</t>
        </is>
      </c>
      <c r="F6" s="18" t="inlineStr">
        <is>
          <t>SYS-REQ-001, SYS-REQ-004</t>
        </is>
      </c>
      <c r="G6" s="18" t="inlineStr">
        <is>
          <t>Periodic data, latest value only.</t>
        </is>
      </c>
      <c r="H6" s="16" t="inlineStr">
        <is>
          <t>High</t>
        </is>
      </c>
      <c r="I6" s="16" t="inlineStr">
        <is>
          <t>Accepted</t>
        </is>
      </c>
      <c r="J6" s="16" t="inlineStr">
        <is>
          <t>Test</t>
        </is>
      </c>
      <c r="K6" s="18" t="inlineStr">
        <is>
          <t>Heater follows the temperature sent.</t>
        </is>
      </c>
      <c r="L6" s="18" t="inlineStr">
        <is>
          <t>TC-02</t>
        </is>
      </c>
      <c r="M6" s="17" t="inlineStr">
        <is>
          <t>R1.0</t>
        </is>
      </c>
      <c r="N6" s="17">
        <f>IF(ISNUMBER(MATCH(LEFT(F6,11),'System Requirements'!$A$5:$A$12,0)),"OK","MISSING")</f>
        <v/>
      </c>
      <c r="O6" s="18" t="inlineStr"/>
    </row>
    <row r="7">
      <c r="A7" s="15" t="inlineStr">
        <is>
          <t>SW-REQ-003</t>
        </is>
      </c>
      <c r="B7" s="14" t="inlineStr">
        <is>
          <t>Thermostat</t>
        </is>
      </c>
      <c r="C7" s="14" t="inlineStr">
        <is>
          <t>Every 100 ms the ControlTask shall set PowerRequest = 100 when SensorValue &lt;= 38 C, 0 when SensorValue &gt;= 40 C, keep it otherwise, and 0 when SensorValue &gt; 120.</t>
        </is>
      </c>
      <c r="D7" s="15" t="inlineStr">
        <is>
          <t>Functional</t>
        </is>
      </c>
      <c r="E7" s="14" t="inlineStr">
        <is>
          <t>SWC-CTRL</t>
        </is>
      </c>
      <c r="F7" s="14" t="inlineStr">
        <is>
          <t>SYS-REQ-001</t>
        </is>
      </c>
      <c r="G7" s="14" t="inlineStr">
        <is>
          <t>On/off control with 2 C hysteresis.</t>
        </is>
      </c>
      <c r="H7" s="16" t="inlineStr">
        <is>
          <t>High</t>
        </is>
      </c>
      <c r="I7" s="16" t="inlineStr">
        <is>
          <t>Accepted</t>
        </is>
      </c>
      <c r="J7" s="16" t="inlineStr">
        <is>
          <t>Test</t>
        </is>
      </c>
      <c r="K7" s="14" t="inlineStr">
        <is>
          <t>Water regulated between 38 and 40 C.</t>
        </is>
      </c>
      <c r="L7" s="14" t="inlineStr">
        <is>
          <t>TC-02</t>
        </is>
      </c>
      <c r="M7" s="15" t="inlineStr">
        <is>
          <t>R1.0</t>
        </is>
      </c>
      <c r="N7" s="15">
        <f>IF(ISNUMBER(MATCH(LEFT(F7,11),'System Requirements'!$A$5:$A$12,0)),"OK","MISSING")</f>
        <v/>
      </c>
      <c r="O7" s="14" t="inlineStr"/>
    </row>
    <row r="8">
      <c r="A8" s="17" t="inlineStr">
        <is>
          <t>SW-REQ-004</t>
        </is>
      </c>
      <c r="B8" s="18" t="inlineStr">
        <is>
          <t>Heartbeat</t>
        </is>
      </c>
      <c r="C8" s="18" t="inlineStr">
        <is>
          <t>The ControlTask shall increment ControlAlive at every cycle.</t>
        </is>
      </c>
      <c r="D8" s="17" t="inlineStr">
        <is>
          <t>Safety</t>
        </is>
      </c>
      <c r="E8" s="18" t="inlineStr">
        <is>
          <t>SWC-CTRL</t>
        </is>
      </c>
      <c r="F8" s="18" t="inlineStr">
        <is>
          <t>SYS-REQ-004</t>
        </is>
      </c>
      <c r="G8" s="18" t="inlineStr">
        <is>
          <t>Supervision of the function.</t>
        </is>
      </c>
      <c r="H8" s="16" t="inlineStr">
        <is>
          <t>High</t>
        </is>
      </c>
      <c r="I8" s="16" t="inlineStr">
        <is>
          <t>Accepted</t>
        </is>
      </c>
      <c r="J8" s="16" t="inlineStr">
        <is>
          <t>Test</t>
        </is>
      </c>
      <c r="K8" s="18" t="inlineStr">
        <is>
          <t>Deadlock detected.</t>
        </is>
      </c>
      <c r="L8" s="18" t="inlineStr">
        <is>
          <t>TC-06</t>
        </is>
      </c>
      <c r="M8" s="17" t="inlineStr">
        <is>
          <t>R1.0</t>
        </is>
      </c>
      <c r="N8" s="17">
        <f>IF(ISNUMBER(MATCH(LEFT(F8,11),'System Requirements'!$A$5:$A$12,0)),"OK","MISSING")</f>
        <v/>
      </c>
      <c r="O8" s="18" t="inlineStr"/>
    </row>
    <row r="9">
      <c r="A9" s="15" t="inlineStr">
        <is>
          <t>SW-REQ-005</t>
        </is>
      </c>
      <c r="B9" s="14" t="inlineStr">
        <is>
          <t>No output in the function</t>
        </is>
      </c>
      <c r="C9" s="14" t="inlineStr">
        <is>
          <t>The ControlTask shall never write the heater or the relay; it only writes PowerRequest.</t>
        </is>
      </c>
      <c r="D9" s="15" t="inlineStr">
        <is>
          <t>Safety</t>
        </is>
      </c>
      <c r="E9" s="14" t="inlineStr">
        <is>
          <t>SWC-CTRL</t>
        </is>
      </c>
      <c r="F9" s="14" t="inlineStr">
        <is>
          <t>SYS-REQ-002</t>
        </is>
      </c>
      <c r="G9" s="14" t="inlineStr">
        <is>
          <t>A bug in the function cannot drive the heater.</t>
        </is>
      </c>
      <c r="H9" s="16" t="inlineStr">
        <is>
          <t>High</t>
        </is>
      </c>
      <c r="I9" s="16" t="inlineStr">
        <is>
          <t>Accepted</t>
        </is>
      </c>
      <c r="J9" s="16" t="inlineStr">
        <is>
          <t>Review</t>
        </is>
      </c>
      <c r="K9" s="14" t="inlineStr">
        <is>
          <t>No HAL_GPIO / output call in ControlTask.</t>
        </is>
      </c>
      <c r="L9" s="14" t="inlineStr">
        <is>
          <t>TC-08</t>
        </is>
      </c>
      <c r="M9" s="15" t="inlineStr">
        <is>
          <t>R1.0</t>
        </is>
      </c>
      <c r="N9" s="15">
        <f>IF(ISNUMBER(MATCH(LEFT(F9,11),'System Requirements'!$A$5:$A$12,0)),"OK","MISSING")</f>
        <v/>
      </c>
      <c r="O9" s="14" t="inlineStr"/>
    </row>
    <row r="10">
      <c r="A10" s="17" t="inlineStr">
        <is>
          <t>SW-REQ-006</t>
        </is>
      </c>
      <c r="B10" s="18" t="inlineStr">
        <is>
          <t>Single output writer</t>
        </is>
      </c>
      <c r="C10" s="18" t="inlineStr">
        <is>
          <t>The SafetyTask shall be the only software element that writes the heater and the relay (WriteOutputs).</t>
        </is>
      </c>
      <c r="D10" s="17" t="inlineStr">
        <is>
          <t>Safety</t>
        </is>
      </c>
      <c r="E10" s="18" t="inlineStr">
        <is>
          <t>SWC-SAFE</t>
        </is>
      </c>
      <c r="F10" s="18" t="inlineStr">
        <is>
          <t>SYS-REQ-002, SYS-REQ-005</t>
        </is>
      </c>
      <c r="G10" s="18" t="inlineStr">
        <is>
          <t>No conflict, no race on the outputs.</t>
        </is>
      </c>
      <c r="H10" s="16" t="inlineStr">
        <is>
          <t>High</t>
        </is>
      </c>
      <c r="I10" s="16" t="inlineStr">
        <is>
          <t>Accepted</t>
        </is>
      </c>
      <c r="J10" s="16" t="inlineStr">
        <is>
          <t>Review</t>
        </is>
      </c>
      <c r="K10" s="18" t="inlineStr">
        <is>
          <t>WriteOutputs called only from SafetyTask.</t>
        </is>
      </c>
      <c r="L10" s="18" t="inlineStr">
        <is>
          <t>TC-08</t>
        </is>
      </c>
      <c r="M10" s="17" t="inlineStr">
        <is>
          <t>R1.0</t>
        </is>
      </c>
      <c r="N10" s="17">
        <f>IF(ISNUMBER(MATCH(LEFT(F10,11),'System Requirements'!$A$5:$A$12,0)),"OK","MISSING")</f>
        <v/>
      </c>
      <c r="O10" s="18" t="inlineStr"/>
    </row>
    <row r="11">
      <c r="A11" s="15" t="inlineStr">
        <is>
          <t>SW-REQ-007</t>
        </is>
      </c>
      <c r="B11" s="14" t="inlineStr">
        <is>
          <t>Sensor error</t>
        </is>
      </c>
      <c r="C11" s="14" t="inlineStr">
        <is>
          <t>The SafetyTask shall raise ERR_SENSOR (0x01) when, after the first sample, SensorValue &gt; 120 C (0xFF = broken sensor).</t>
        </is>
      </c>
      <c r="D11" s="15" t="inlineStr">
        <is>
          <t>Safety</t>
        </is>
      </c>
      <c r="E11" s="14" t="inlineStr">
        <is>
          <t>SWC-SAFE</t>
        </is>
      </c>
      <c r="F11" s="14" t="inlineStr">
        <is>
          <t>SYS-REQ-004</t>
        </is>
      </c>
      <c r="G11" s="14" t="inlineStr">
        <is>
          <t>Sensor wire cut.</t>
        </is>
      </c>
      <c r="H11" s="16" t="inlineStr">
        <is>
          <t>High</t>
        </is>
      </c>
      <c r="I11" s="16" t="inlineStr">
        <is>
          <t>Accepted</t>
        </is>
      </c>
      <c r="J11" s="16" t="inlineStr">
        <is>
          <t>Test</t>
        </is>
      </c>
      <c r="K11" s="14" t="inlineStr">
        <is>
          <t>Wire cut -&gt; SAFE, EVT_ERROR 01.</t>
        </is>
      </c>
      <c r="L11" s="14" t="inlineStr">
        <is>
          <t>TC-03</t>
        </is>
      </c>
      <c r="M11" s="15" t="inlineStr">
        <is>
          <t>R1.0</t>
        </is>
      </c>
      <c r="N11" s="15">
        <f>IF(ISNUMBER(MATCH(LEFT(F11,11),'System Requirements'!$A$5:$A$12,0)),"OK","MISSING")</f>
        <v/>
      </c>
      <c r="O11" s="14" t="inlineStr"/>
    </row>
    <row r="12">
      <c r="A12" s="17" t="inlineStr">
        <is>
          <t>SW-REQ-008</t>
        </is>
      </c>
      <c r="B12" s="18" t="inlineStr">
        <is>
          <t>Timeout error</t>
        </is>
      </c>
      <c r="C12" s="18" t="inlineStr">
        <is>
          <t>The SafetyTask shall raise ERR_TIMEOUT (0x02) when, after the first sample, no sample arrived for 500 ms.</t>
        </is>
      </c>
      <c r="D12" s="17" t="inlineStr">
        <is>
          <t>Safety</t>
        </is>
      </c>
      <c r="E12" s="18" t="inlineStr">
        <is>
          <t>SWC-SAFE</t>
        </is>
      </c>
      <c r="F12" s="18" t="inlineStr">
        <is>
          <t>SYS-REQ-004</t>
        </is>
      </c>
      <c r="G12" s="18" t="inlineStr">
        <is>
          <t>Cable or PC lost.</t>
        </is>
      </c>
      <c r="H12" s="16" t="inlineStr">
        <is>
          <t>High</t>
        </is>
      </c>
      <c r="I12" s="16" t="inlineStr">
        <is>
          <t>Accepted</t>
        </is>
      </c>
      <c r="J12" s="16" t="inlineStr">
        <is>
          <t>Test</t>
        </is>
      </c>
      <c r="K12" s="18" t="inlineStr">
        <is>
          <t>Cable lost -&gt; SAFE, EVT_ERROR 02 within 600 ms.</t>
        </is>
      </c>
      <c r="L12" s="18" t="inlineStr">
        <is>
          <t>TC-04</t>
        </is>
      </c>
      <c r="M12" s="17" t="inlineStr">
        <is>
          <t>R1.0</t>
        </is>
      </c>
      <c r="N12" s="17">
        <f>IF(ISNUMBER(MATCH(LEFT(F12,11),'System Requirements'!$A$5:$A$12,0)),"OK","MISSING")</f>
        <v/>
      </c>
      <c r="O12" s="18" t="inlineStr"/>
    </row>
    <row r="13">
      <c r="A13" s="15" t="inlineStr">
        <is>
          <t>SW-REQ-009</t>
        </is>
      </c>
      <c r="B13" s="14" t="inlineStr">
        <is>
          <t>Overtemperature error</t>
        </is>
      </c>
      <c r="C13" s="14" t="inlineStr">
        <is>
          <t>The SafetyTask shall raise ERR_OVERTEMP (0x04) when SensorValue &gt; 90 C (5 C margin to the 95 C hazard).</t>
        </is>
      </c>
      <c r="D13" s="15" t="inlineStr">
        <is>
          <t>Safety</t>
        </is>
      </c>
      <c r="E13" s="14" t="inlineStr">
        <is>
          <t>SWC-SAFE</t>
        </is>
      </c>
      <c r="F13" s="14" t="inlineStr">
        <is>
          <t>SYS-REQ-002, SYS-REQ-004</t>
        </is>
      </c>
      <c r="G13" s="14" t="inlineStr">
        <is>
          <t>Detect before the hazard.</t>
        </is>
      </c>
      <c r="H13" s="16" t="inlineStr">
        <is>
          <t>High</t>
        </is>
      </c>
      <c r="I13" s="16" t="inlineStr">
        <is>
          <t>Accepted</t>
        </is>
      </c>
      <c r="J13" s="16" t="inlineStr">
        <is>
          <t>Test</t>
        </is>
      </c>
      <c r="K13" s="14" t="inlineStr">
        <is>
          <t>Heater stuck ON -&gt; SAFE at &gt; 90 C, never heating above 95 C.</t>
        </is>
      </c>
      <c r="L13" s="14" t="inlineStr">
        <is>
          <t>TC-05</t>
        </is>
      </c>
      <c r="M13" s="15" t="inlineStr">
        <is>
          <t>R1.0</t>
        </is>
      </c>
      <c r="N13" s="15">
        <f>IF(ISNUMBER(MATCH(LEFT(F13,11),'System Requirements'!$A$5:$A$12,0)),"OK","MISSING")</f>
        <v/>
      </c>
      <c r="O13" s="14" t="inlineStr"/>
    </row>
    <row r="14">
      <c r="A14" s="17" t="inlineStr">
        <is>
          <t>SW-REQ-010</t>
        </is>
      </c>
      <c r="B14" s="18" t="inlineStr">
        <is>
          <t>Alive error</t>
        </is>
      </c>
      <c r="C14" s="18" t="inlineStr">
        <is>
          <t>The SafetyTask shall raise ERR_ALIVE (0x08) when ControlAlive did not change for 300 ms.</t>
        </is>
      </c>
      <c r="D14" s="17" t="inlineStr">
        <is>
          <t>Safety</t>
        </is>
      </c>
      <c r="E14" s="18" t="inlineStr">
        <is>
          <t>SWC-SAFE</t>
        </is>
      </c>
      <c r="F14" s="18" t="inlineStr">
        <is>
          <t>SYS-REQ-004</t>
        </is>
      </c>
      <c r="G14" s="18" t="inlineStr">
        <is>
          <t>Software fault of the function.</t>
        </is>
      </c>
      <c r="H14" s="16" t="inlineStr">
        <is>
          <t>High</t>
        </is>
      </c>
      <c r="I14" s="16" t="inlineStr">
        <is>
          <t>Accepted</t>
        </is>
      </c>
      <c r="J14" s="16" t="inlineStr">
        <is>
          <t>Test</t>
        </is>
      </c>
      <c r="K14" s="18" t="inlineStr">
        <is>
          <t>Deadlock -&gt; SAFE, EVT_ERROR 08 within 400 ms.</t>
        </is>
      </c>
      <c r="L14" s="18" t="inlineStr">
        <is>
          <t>TC-06</t>
        </is>
      </c>
      <c r="M14" s="17" t="inlineStr">
        <is>
          <t>R1.0</t>
        </is>
      </c>
      <c r="N14" s="17">
        <f>IF(ISNUMBER(MATCH(LEFT(F14,11),'System Requirements'!$A$5:$A$12,0)),"OK","MISSING")</f>
        <v/>
      </c>
      <c r="O14" s="18" t="inlineStr"/>
    </row>
    <row r="15">
      <c r="A15" s="15" t="inlineStr">
        <is>
          <t>SW-REQ-011</t>
        </is>
      </c>
      <c r="B15" s="14" t="inlineStr">
        <is>
          <t>Supervision period</t>
        </is>
      </c>
      <c r="C15" s="14" t="inlineStr">
        <is>
          <t>The SafetyTask shall run every 50 ms (vTaskDelayUntil) with the highest priority (4).</t>
        </is>
      </c>
      <c r="D15" s="15" t="inlineStr">
        <is>
          <t>Performance</t>
        </is>
      </c>
      <c r="E15" s="14" t="inlineStr">
        <is>
          <t>SWC-SAFE</t>
        </is>
      </c>
      <c r="F15" s="14" t="inlineStr">
        <is>
          <t>SYS-REQ-004, SYS-REQ-005</t>
        </is>
      </c>
      <c r="G15" s="14" t="inlineStr">
        <is>
          <t>Fast, never delayed reaction.</t>
        </is>
      </c>
      <c r="H15" s="16" t="inlineStr">
        <is>
          <t>High</t>
        </is>
      </c>
      <c r="I15" s="16" t="inlineStr">
        <is>
          <t>Accepted</t>
        </is>
      </c>
      <c r="J15" s="16" t="inlineStr">
        <is>
          <t>Inspection</t>
        </is>
      </c>
      <c r="K15" s="14" t="inlineStr">
        <is>
          <t>xTaskCreate priority 4, 50 ms period.</t>
        </is>
      </c>
      <c r="L15" s="14" t="inlineStr">
        <is>
          <t>TC-08</t>
        </is>
      </c>
      <c r="M15" s="15" t="inlineStr">
        <is>
          <t>R1.0</t>
        </is>
      </c>
      <c r="N15" s="15">
        <f>IF(ISNUMBER(MATCH(LEFT(F15,11),'System Requirements'!$A$5:$A$12,0)),"OK","MISSING")</f>
        <v/>
      </c>
      <c r="O15" s="14" t="inlineStr"/>
    </row>
    <row r="16">
      <c r="A16" s="17" t="inlineStr">
        <is>
          <t>SW-REQ-012</t>
        </is>
      </c>
      <c r="B16" s="18" t="inlineStr">
        <is>
          <t>NORMAL outputs</t>
        </is>
      </c>
      <c r="C16" s="18" t="inlineStr">
        <is>
          <t>In NORMAL without error, the SafetyTask shall write heater = PowerRequest and relay closed.</t>
        </is>
      </c>
      <c r="D16" s="17" t="inlineStr">
        <is>
          <t>Functional</t>
        </is>
      </c>
      <c r="E16" s="18" t="inlineStr">
        <is>
          <t>SWC-SAFE</t>
        </is>
      </c>
      <c r="F16" s="18" t="inlineStr">
        <is>
          <t>SYS-REQ-001, SYS-REQ-003</t>
        </is>
      </c>
      <c r="G16" s="18" t="inlineStr">
        <is>
          <t>Control active.</t>
        </is>
      </c>
      <c r="H16" s="16" t="inlineStr">
        <is>
          <t>High</t>
        </is>
      </c>
      <c r="I16" s="16" t="inlineStr">
        <is>
          <t>Accepted</t>
        </is>
      </c>
      <c r="J16" s="16" t="inlineStr">
        <is>
          <t>Test</t>
        </is>
      </c>
      <c r="K16" s="18" t="inlineStr">
        <is>
          <t>EVT_HEATER follows the thermostat, EVT_RELAY 01.</t>
        </is>
      </c>
      <c r="L16" s="18" t="inlineStr">
        <is>
          <t>TC-02</t>
        </is>
      </c>
      <c r="M16" s="17" t="inlineStr">
        <is>
          <t>R1.0</t>
        </is>
      </c>
      <c r="N16" s="17">
        <f>IF(ISNUMBER(MATCH(LEFT(F16,11),'System Requirements'!$A$5:$A$12,0)),"OK","MISSING")</f>
        <v/>
      </c>
      <c r="O16" s="18" t="inlineStr"/>
    </row>
    <row r="17">
      <c r="A17" s="15" t="inlineStr">
        <is>
          <t>SW-REQ-013</t>
        </is>
      </c>
      <c r="B17" s="14" t="inlineStr">
        <is>
          <t>Enter SAFE</t>
        </is>
      </c>
      <c r="C17" s="14" t="inlineStr">
        <is>
          <t>On any error in NORMAL, the SafetyTask shall set Mode = SAFE, write heater 0 and relay open FIRST, then send EVT_MODE 01 and EVT_ERROR with the error bits.</t>
        </is>
      </c>
      <c r="D17" s="15" t="inlineStr">
        <is>
          <t>Safety</t>
        </is>
      </c>
      <c r="E17" s="14" t="inlineStr">
        <is>
          <t>SWC-SAFE</t>
        </is>
      </c>
      <c r="F17" s="14" t="inlineStr">
        <is>
          <t>SYS-REQ-003, SYS-REQ-005</t>
        </is>
      </c>
      <c r="G17" s="14" t="inlineStr">
        <is>
          <t>Outputs before reports.</t>
        </is>
      </c>
      <c r="H17" s="16" t="inlineStr">
        <is>
          <t>High</t>
        </is>
      </c>
      <c r="I17" s="16" t="inlineStr">
        <is>
          <t>Accepted</t>
        </is>
      </c>
      <c r="J17" s="16" t="inlineStr">
        <is>
          <t>Test</t>
        </is>
      </c>
      <c r="K17" s="14" t="inlineStr">
        <is>
          <t>AA 72 00, AA 73 00, AA 70 01, AA 71 xx in this order.</t>
        </is>
      </c>
      <c r="L17" s="14" t="inlineStr">
        <is>
          <t>TC-03, TC-04, TC-05, TC-06</t>
        </is>
      </c>
      <c r="M17" s="15" t="inlineStr">
        <is>
          <t>R1.0</t>
        </is>
      </c>
      <c r="N17" s="15">
        <f>IF(ISNUMBER(MATCH(LEFT(F17,11),'System Requirements'!$A$5:$A$12,0)),"OK","MISSING")</f>
        <v/>
      </c>
      <c r="O17" s="14" t="inlineStr"/>
    </row>
    <row r="18">
      <c r="A18" s="17" t="inlineStr">
        <is>
          <t>SW-REQ-014</t>
        </is>
      </c>
      <c r="B18" s="18" t="inlineStr">
        <is>
          <t>Stay SAFE</t>
        </is>
      </c>
      <c r="C18" s="18" t="inlineStr">
        <is>
          <t>In SAFE, the SafetyTask shall write heater 0 and relay open at every cycle.</t>
        </is>
      </c>
      <c r="D18" s="17" t="inlineStr">
        <is>
          <t>Safety</t>
        </is>
      </c>
      <c r="E18" s="18" t="inlineStr">
        <is>
          <t>SWC-SAFE</t>
        </is>
      </c>
      <c r="F18" s="18" t="inlineStr">
        <is>
          <t>SYS-REQ-003</t>
        </is>
      </c>
      <c r="G18" s="18" t="inlineStr">
        <is>
          <t>Outputs frozen off.</t>
        </is>
      </c>
      <c r="H18" s="16" t="inlineStr">
        <is>
          <t>High</t>
        </is>
      </c>
      <c r="I18" s="16" t="inlineStr">
        <is>
          <t>Accepted</t>
        </is>
      </c>
      <c r="J18" s="16" t="inlineStr">
        <is>
          <t>Test</t>
        </is>
      </c>
      <c r="K18" s="18" t="inlineStr">
        <is>
          <t>No EVT_HEATER 64 while SAFE.</t>
        </is>
      </c>
      <c r="L18" s="18" t="inlineStr">
        <is>
          <t>TC-05</t>
        </is>
      </c>
      <c r="M18" s="17" t="inlineStr">
        <is>
          <t>R1.0</t>
        </is>
      </c>
      <c r="N18" s="17">
        <f>IF(ISNUMBER(MATCH(LEFT(F18,11),'System Requirements'!$A$5:$A$12,0)),"OK","MISSING")</f>
        <v/>
      </c>
      <c r="O18" s="18" t="inlineStr"/>
    </row>
    <row r="19">
      <c r="A19" s="15" t="inlineStr">
        <is>
          <t>SW-REQ-015</t>
        </is>
      </c>
      <c r="B19" s="14" t="inlineStr">
        <is>
          <t>Reset request</t>
        </is>
      </c>
      <c r="C19" s="14" t="inlineStr">
        <is>
          <t>RESET_REQ (AA 62 00) shall be answered E6 outside SAFE; in SAFE the SafetyTask shall accept it only if SensorSeen, the sample is younger than 500 ms and SensorValue &lt; 60 C.</t>
        </is>
      </c>
      <c r="D19" s="15" t="inlineStr">
        <is>
          <t>Safety</t>
        </is>
      </c>
      <c r="E19" s="14" t="inlineStr">
        <is>
          <t>SWC-LL, SWC-SAFE</t>
        </is>
      </c>
      <c r="F19" s="14" t="inlineStr">
        <is>
          <t>SYS-REQ-006</t>
        </is>
      </c>
      <c r="G19" s="14" t="inlineStr">
        <is>
          <t>Controlled exit from SAFE.</t>
        </is>
      </c>
      <c r="H19" s="16" t="inlineStr">
        <is>
          <t>High</t>
        </is>
      </c>
      <c r="I19" s="16" t="inlineStr">
        <is>
          <t>Accepted</t>
        </is>
      </c>
      <c r="J19" s="16" t="inlineStr">
        <is>
          <t>Test</t>
        </is>
      </c>
      <c r="K19" s="14" t="inlineStr">
        <is>
          <t>85 C -&gt; AA E2 E6; 55 C -&gt; AA E2 00.</t>
        </is>
      </c>
      <c r="L19" s="14" t="inlineStr">
        <is>
          <t>TC-05</t>
        </is>
      </c>
      <c r="M19" s="15" t="inlineStr">
        <is>
          <t>R1.0</t>
        </is>
      </c>
      <c r="N19" s="15">
        <f>IF(ISNUMBER(MATCH(LEFT(F19,11),'System Requirements'!$A$5:$A$12,0)),"OK","MISSING")</f>
        <v/>
      </c>
      <c r="O19" s="14" t="inlineStr"/>
    </row>
    <row r="20">
      <c r="A20" s="17" t="inlineStr">
        <is>
          <t>SW-REQ-016</t>
        </is>
      </c>
      <c r="B20" s="18" t="inlineStr">
        <is>
          <t>Restart</t>
        </is>
      </c>
      <c r="C20" s="18" t="inlineStr">
        <is>
          <t>On an accepted reset the SafetyTask shall answer AA E2 00 and restart the MCU (NVIC_SystemReset).</t>
        </is>
      </c>
      <c r="D20" s="17" t="inlineStr">
        <is>
          <t>Safety</t>
        </is>
      </c>
      <c r="E20" s="18" t="inlineStr">
        <is>
          <t>SWC-SAFE</t>
        </is>
      </c>
      <c r="F20" s="18" t="inlineStr">
        <is>
          <t>SYS-REQ-006</t>
        </is>
      </c>
      <c r="G20" s="18" t="inlineStr">
        <is>
          <t>Only a restart recovers a dead task.</t>
        </is>
      </c>
      <c r="H20" s="16" t="inlineStr">
        <is>
          <t>High</t>
        </is>
      </c>
      <c r="I20" s="16" t="inlineStr">
        <is>
          <t>Accepted</t>
        </is>
      </c>
      <c r="J20" s="16" t="inlineStr">
        <is>
          <t>Test</t>
        </is>
      </c>
      <c r="K20" s="18" t="inlineStr">
        <is>
          <t>EVT_BOOT then NORMAL after the reset.</t>
        </is>
      </c>
      <c r="L20" s="18" t="inlineStr">
        <is>
          <t>TC-05, TC-06</t>
        </is>
      </c>
      <c r="M20" s="17" t="inlineStr">
        <is>
          <t>R1.0</t>
        </is>
      </c>
      <c r="N20" s="17">
        <f>IF(ISNUMBER(MATCH(LEFT(F20,11),'System Requirements'!$A$5:$A$12,0)),"OK","MISSING")</f>
        <v/>
      </c>
      <c r="O20" s="18" t="inlineStr"/>
    </row>
    <row r="21">
      <c r="A21" s="15" t="inlineStr">
        <is>
          <t>SW-REQ-017</t>
        </is>
      </c>
      <c r="B21" s="14" t="inlineStr">
        <is>
          <t>Start-up</t>
        </is>
      </c>
      <c r="C21" s="14" t="inlineStr">
        <is>
          <t>After boot the SafetyTask shall send EVT_BOOT and EVT_MODE 00 (NORMAL); error supervision of the sensor starts with the first sample.</t>
        </is>
      </c>
      <c r="D21" s="15" t="inlineStr">
        <is>
          <t>Functional</t>
        </is>
      </c>
      <c r="E21" s="14" t="inlineStr">
        <is>
          <t>SWC-SAFE</t>
        </is>
      </c>
      <c r="F21" s="14" t="inlineStr">
        <is>
          <t>SYS-REQ-003, SYS-REQ-007</t>
        </is>
      </c>
      <c r="G21" s="14" t="inlineStr">
        <is>
          <t>Known initial state.</t>
        </is>
      </c>
      <c r="H21" s="16" t="inlineStr">
        <is>
          <t>Medium</t>
        </is>
      </c>
      <c r="I21" s="16" t="inlineStr">
        <is>
          <t>Accepted</t>
        </is>
      </c>
      <c r="J21" s="16" t="inlineStr">
        <is>
          <t>Test</t>
        </is>
      </c>
      <c r="K21" s="14" t="inlineStr">
        <is>
          <t>AA 74 00, AA 70 00 at start.</t>
        </is>
      </c>
      <c r="L21" s="14" t="inlineStr">
        <is>
          <t>TC-01</t>
        </is>
      </c>
      <c r="M21" s="15" t="inlineStr">
        <is>
          <t>R1.0</t>
        </is>
      </c>
      <c r="N21" s="15">
        <f>IF(ISNUMBER(MATCH(LEFT(F21,11),'System Requirements'!$A$5:$A$12,0)),"OK","MISSING")</f>
        <v/>
      </c>
      <c r="O21" s="14" t="inlineStr"/>
    </row>
    <row r="22">
      <c r="A22" s="17" t="inlineStr">
        <is>
          <t>SW-REQ-018</t>
        </is>
      </c>
      <c r="B22" s="18" t="inlineStr">
        <is>
          <t>Actuator reports</t>
        </is>
      </c>
      <c r="C22" s="18" t="inlineStr">
        <is>
          <t>WriteOutputs shall send EVT_HEATER (AA 72 PP) when the heater power changes and EVT_RELAY (AA 73 RR) when the relay changes, and drive LED PD15 with the heater.</t>
        </is>
      </c>
      <c r="D22" s="17" t="inlineStr">
        <is>
          <t>Interface</t>
        </is>
      </c>
      <c r="E22" s="18" t="inlineStr">
        <is>
          <t>SWC-SAFE</t>
        </is>
      </c>
      <c r="F22" s="18" t="inlineStr">
        <is>
          <t>SYS-REQ-007</t>
        </is>
      </c>
      <c r="G22" s="18" t="inlineStr">
        <is>
          <t>The PC applies the actuators.</t>
        </is>
      </c>
      <c r="H22" s="16" t="inlineStr">
        <is>
          <t>High</t>
        </is>
      </c>
      <c r="I22" s="16" t="inlineStr">
        <is>
          <t>Accepted</t>
        </is>
      </c>
      <c r="J22" s="16" t="inlineStr">
        <is>
          <t>Test</t>
        </is>
      </c>
      <c r="K22" s="18" t="inlineStr">
        <is>
          <t>One frame per change, not every 50 ms.</t>
        </is>
      </c>
      <c r="L22" s="18" t="inlineStr">
        <is>
          <t>TC-02</t>
        </is>
      </c>
      <c r="M22" s="17" t="inlineStr">
        <is>
          <t>R1.0</t>
        </is>
      </c>
      <c r="N22" s="17">
        <f>IF(ISNUMBER(MATCH(LEFT(F22,11),'System Requirements'!$A$5:$A$12,0)),"OK","MISSING")</f>
        <v/>
      </c>
      <c r="O22" s="18" t="inlineStr"/>
    </row>
    <row r="23">
      <c r="A23" s="15" t="inlineStr">
        <is>
          <t>SW-REQ-019</t>
        </is>
      </c>
      <c r="B23" s="14" t="inlineStr">
        <is>
          <t>Commands</t>
        </is>
      </c>
      <c r="C23" s="14" t="inlineStr">
        <is>
          <t>GET_MODE (AA 64) shall be answered with the mode, PING with an echo, INJECT_FAULT 01 with 00, other commands with E1.</t>
        </is>
      </c>
      <c r="D23" s="15" t="inlineStr">
        <is>
          <t>Interface</t>
        </is>
      </c>
      <c r="E23" s="14" t="inlineStr">
        <is>
          <t>SWC-LL</t>
        </is>
      </c>
      <c r="F23" s="14" t="inlineStr">
        <is>
          <t>SYS-REQ-007, SYS-REQ-008</t>
        </is>
      </c>
      <c r="G23" s="14" t="inlineStr">
        <is>
          <t>Diagnostics and fault injection.</t>
        </is>
      </c>
      <c r="H23" s="16" t="inlineStr">
        <is>
          <t>Medium</t>
        </is>
      </c>
      <c r="I23" s="16" t="inlineStr">
        <is>
          <t>Accepted</t>
        </is>
      </c>
      <c r="J23" s="16" t="inlineStr">
        <is>
          <t>Test</t>
        </is>
      </c>
      <c r="K23" s="14" t="inlineStr">
        <is>
          <t>AA 64 00 -&gt; AA E4 00/01.</t>
        </is>
      </c>
      <c r="L23" s="14" t="inlineStr">
        <is>
          <t>TC-01, TC-07</t>
        </is>
      </c>
      <c r="M23" s="15" t="inlineStr">
        <is>
          <t>R1.0</t>
        </is>
      </c>
      <c r="N23" s="15">
        <f>IF(ISNUMBER(MATCH(LEFT(F23,11),'System Requirements'!$A$5:$A$12,0)),"OK","MISSING")</f>
        <v/>
      </c>
      <c r="O23" s="14" t="inlineStr"/>
    </row>
    <row r="24">
      <c r="A24" s="17" t="inlineStr">
        <is>
          <t>SW-REQ-020</t>
        </is>
      </c>
      <c r="B24" s="18" t="inlineStr">
        <is>
          <t>Deadlock injection</t>
        </is>
      </c>
      <c r="C24" s="18" t="inlineStr">
        <is>
          <t>INJECT_FAULT 01 shall make the ControlTask block forever on a semaphore that is never given.</t>
        </is>
      </c>
      <c r="D24" s="17" t="inlineStr">
        <is>
          <t>Functional</t>
        </is>
      </c>
      <c r="E24" s="18" t="inlineStr">
        <is>
          <t>SWC-CTRL</t>
        </is>
      </c>
      <c r="F24" s="18" t="inlineStr">
        <is>
          <t>SYS-REQ-008</t>
        </is>
      </c>
      <c r="G24" s="18" t="inlineStr">
        <is>
          <t>Software fault for the lab.</t>
        </is>
      </c>
      <c r="H24" s="16" t="inlineStr">
        <is>
          <t>Low</t>
        </is>
      </c>
      <c r="I24" s="16" t="inlineStr">
        <is>
          <t>Accepted</t>
        </is>
      </c>
      <c r="J24" s="16" t="inlineStr">
        <is>
          <t>Test</t>
        </is>
      </c>
      <c r="K24" s="18" t="inlineStr">
        <is>
          <t>ERR_ALIVE after injection.</t>
        </is>
      </c>
      <c r="L24" s="18" t="inlineStr">
        <is>
          <t>TC-06</t>
        </is>
      </c>
      <c r="M24" s="17" t="inlineStr">
        <is>
          <t>R1.0</t>
        </is>
      </c>
      <c r="N24" s="17">
        <f>IF(ISNUMBER(MATCH(LEFT(F24,11),'System Requirements'!$A$5:$A$12,0)),"OK","MISSING")</f>
        <v/>
      </c>
      <c r="O24" s="18" t="inlineStr"/>
    </row>
    <row r="25">
      <c r="A25" s="15" t="inlineStr">
        <is>
          <t>SW-REQ-021</t>
        </is>
      </c>
      <c r="B25" s="14" t="inlineStr">
        <is>
          <t>Single writer data</t>
        </is>
      </c>
      <c r="C25" s="14" t="inlineStr">
        <is>
          <t>Every shared variable shall have one writer: SensorValue/Tick/Seen and InjectDeadlock by LinkLayer, PowerRequest and ControlAlive by ControlTask, Mode by SafetyTask.</t>
        </is>
      </c>
      <c r="D25" s="15" t="inlineStr">
        <is>
          <t>Constraint</t>
        </is>
      </c>
      <c r="E25" s="14" t="inlineStr">
        <is>
          <t>SWC-LL, SWC-CTRL, SWC-SAFE</t>
        </is>
      </c>
      <c r="F25" s="14" t="inlineStr">
        <is>
          <t>SYS-REQ-002</t>
        </is>
      </c>
      <c r="G25" s="14" t="inlineStr">
        <is>
          <t>No mutex needed, no race.</t>
        </is>
      </c>
      <c r="H25" s="16" t="inlineStr">
        <is>
          <t>High</t>
        </is>
      </c>
      <c r="I25" s="16" t="inlineStr">
        <is>
          <t>Accepted</t>
        </is>
      </c>
      <c r="J25" s="16" t="inlineStr">
        <is>
          <t>Review</t>
        </is>
      </c>
      <c r="K25" s="14" t="inlineStr">
        <is>
          <t>Writers checked in code review.</t>
        </is>
      </c>
      <c r="L25" s="14" t="inlineStr">
        <is>
          <t>TC-08</t>
        </is>
      </c>
      <c r="M25" s="15" t="inlineStr">
        <is>
          <t>R1.0</t>
        </is>
      </c>
      <c r="N25" s="15">
        <f>IF(ISNUMBER(MATCH(LEFT(F25,11),'System Requirements'!$A$5:$A$12,0)),"OK","MISSING")</f>
        <v/>
      </c>
      <c r="O25" s="14" t="inlineStr"/>
    </row>
    <row r="26">
      <c r="A26" s="17" t="inlineStr">
        <is>
          <t>SW-REQ-022</t>
        </is>
      </c>
      <c r="B26" s="18" t="inlineStr">
        <is>
          <t>Plant model</t>
        </is>
      </c>
      <c r="C26" s="18" t="inlineStr">
        <is>
          <t>The GUI shall model the water (T += 0.5 P/100 - 0.005 (T-20) every 100 ms, P = 0 when the relay is open) and send AA 60 TT every 100 ms.</t>
        </is>
      </c>
      <c r="D26" s="17" t="inlineStr">
        <is>
          <t>Functional</t>
        </is>
      </c>
      <c r="E26" s="18" t="inlineStr">
        <is>
          <t>SWC-GUI</t>
        </is>
      </c>
      <c r="F26" s="18" t="inlineStr">
        <is>
          <t>SYS-REQ-008</t>
        </is>
      </c>
      <c r="G26" s="18" t="inlineStr">
        <is>
          <t>Closed loop without hardware.</t>
        </is>
      </c>
      <c r="H26" s="16" t="inlineStr">
        <is>
          <t>Medium</t>
        </is>
      </c>
      <c r="I26" s="16" t="inlineStr">
        <is>
          <t>Accepted</t>
        </is>
      </c>
      <c r="J26" s="16" t="inlineStr">
        <is>
          <t>Test</t>
        </is>
      </c>
      <c r="K26" s="18" t="inlineStr">
        <is>
          <t>Temperature follows the heater.</t>
        </is>
      </c>
      <c r="L26" s="18" t="inlineStr">
        <is>
          <t>TC-02</t>
        </is>
      </c>
      <c r="M26" s="17" t="inlineStr">
        <is>
          <t>R1.0</t>
        </is>
      </c>
      <c r="N26" s="17">
        <f>IF(ISNUMBER(MATCH(LEFT(F26,11),'System Requirements'!$A$5:$A$12,0)),"OK","MISSING")</f>
        <v/>
      </c>
      <c r="O26" s="18" t="inlineStr"/>
    </row>
    <row r="27">
      <c r="A27" s="15" t="inlineStr">
        <is>
          <t>SW-REQ-023</t>
        </is>
      </c>
      <c r="B27" s="14" t="inlineStr">
        <is>
          <t>Fault buttons</t>
        </is>
      </c>
      <c r="C27" s="14" t="inlineStr">
        <is>
          <t>The GUI shall provide: sensor wire cut (sends FF), cable lost (stops sending), heater stuck ON (P = 100 % while the relay is closed), deadlock (AA 63 01).</t>
        </is>
      </c>
      <c r="D27" s="15" t="inlineStr">
        <is>
          <t>Functional</t>
        </is>
      </c>
      <c r="E27" s="14" t="inlineStr">
        <is>
          <t>SWC-GUI</t>
        </is>
      </c>
      <c r="F27" s="14" t="inlineStr">
        <is>
          <t>SYS-REQ-008</t>
        </is>
      </c>
      <c r="G27" s="14" t="inlineStr">
        <is>
          <t>One button per error.</t>
        </is>
      </c>
      <c r="H27" s="16" t="inlineStr">
        <is>
          <t>Medium</t>
        </is>
      </c>
      <c r="I27" s="16" t="inlineStr">
        <is>
          <t>Accepted</t>
        </is>
      </c>
      <c r="J27" s="16" t="inlineStr">
        <is>
          <t>Test</t>
        </is>
      </c>
      <c r="K27" s="14" t="inlineStr">
        <is>
          <t>Each button leads to its error code.</t>
        </is>
      </c>
      <c r="L27" s="14" t="inlineStr">
        <is>
          <t>TC-03, TC-04, TC-05, TC-06</t>
        </is>
      </c>
      <c r="M27" s="15" t="inlineStr">
        <is>
          <t>R1.0</t>
        </is>
      </c>
      <c r="N27" s="15">
        <f>IF(ISNUMBER(MATCH(LEFT(F27,11),'System Requirements'!$A$5:$A$12,0)),"OK","MISSING")</f>
        <v/>
      </c>
      <c r="O27" s="14" t="inlineStr"/>
    </row>
    <row r="28">
      <c r="A28" s="17" t="inlineStr">
        <is>
          <t>SW-REQ-024</t>
        </is>
      </c>
      <c r="B28" s="18" t="inlineStr">
        <is>
          <t>GUI display</t>
        </is>
      </c>
      <c r="C28" s="18" t="inlineStr">
        <is>
          <t>The GUI shall display the mode, the temperature chart (40, 90, 95 C lines), heater, relay, errors, a FAILURE indicator and the frame log.</t>
        </is>
      </c>
      <c r="D28" s="17" t="inlineStr">
        <is>
          <t>Functional</t>
        </is>
      </c>
      <c r="E28" s="18" t="inlineStr">
        <is>
          <t>SWC-GUI</t>
        </is>
      </c>
      <c r="F28" s="18" t="inlineStr">
        <is>
          <t>SYS-REQ-007</t>
        </is>
      </c>
      <c r="G28" s="18" t="inlineStr">
        <is>
          <t>Visible behaviour.</t>
        </is>
      </c>
      <c r="H28" s="16" t="inlineStr">
        <is>
          <t>Medium</t>
        </is>
      </c>
      <c r="I28" s="16" t="inlineStr">
        <is>
          <t>Accepted</t>
        </is>
      </c>
      <c r="J28" s="16" t="inlineStr">
        <is>
          <t>Test</t>
        </is>
      </c>
      <c r="K28" s="18" t="inlineStr">
        <is>
          <t>FAILURE never shown in TC-02..TC-06.</t>
        </is>
      </c>
      <c r="L28" s="18" t="inlineStr">
        <is>
          <t>TC-07</t>
        </is>
      </c>
      <c r="M28" s="17" t="inlineStr">
        <is>
          <t>R1.0</t>
        </is>
      </c>
      <c r="N28" s="17">
        <f>IF(ISNUMBER(MATCH(LEFT(F28,11),'System Requirements'!$A$5:$A$12,0)),"OK","MISSING")</f>
        <v/>
      </c>
      <c r="O28" s="18" t="inlineStr"/>
    </row>
    <row r="29">
      <c r="A29" s="15" t="inlineStr">
        <is>
          <t>SW-REQ-025</t>
        </is>
      </c>
      <c r="B29" s="14" t="inlineStr">
        <is>
          <t>Simulator</t>
        </is>
      </c>
      <c r="C29" s="14" t="inlineStr">
        <is>
          <t>The GUI shall offer a 'Simulator (no board)' port behaving like apk9.c.</t>
        </is>
      </c>
      <c r="D29" s="15" t="inlineStr">
        <is>
          <t>Functional</t>
        </is>
      </c>
      <c r="E29" s="14" t="inlineStr">
        <is>
          <t>SWC-SIM</t>
        </is>
      </c>
      <c r="F29" s="14" t="inlineStr">
        <is>
          <t>SYS-REQ-008</t>
        </is>
      </c>
      <c r="G29" s="14" t="inlineStr">
        <is>
          <t>Work without a board.</t>
        </is>
      </c>
      <c r="H29" s="16" t="inlineStr">
        <is>
          <t>Low</t>
        </is>
      </c>
      <c r="I29" s="16" t="inlineStr">
        <is>
          <t>Accepted</t>
        </is>
      </c>
      <c r="J29" s="16" t="inlineStr">
        <is>
          <t>Test</t>
        </is>
      </c>
      <c r="K29" s="14" t="inlineStr">
        <is>
          <t>Same results as the board.</t>
        </is>
      </c>
      <c r="L29" s="14" t="inlineStr">
        <is>
          <t>TC-07</t>
        </is>
      </c>
      <c r="M29" s="15" t="inlineStr">
        <is>
          <t>R1.0</t>
        </is>
      </c>
      <c r="N29" s="15">
        <f>IF(ISNUMBER(MATCH(LEFT(F29,11),'System Requirements'!$A$5:$A$12,0)),"OK","MISSING")</f>
        <v/>
      </c>
      <c r="O29" s="14" t="inlineStr"/>
    </row>
  </sheetData>
  <autoFilter ref="A4:O29"/>
  <conditionalFormatting sqref="N5:N29">
    <cfRule type="cellIs" priority="1" operator="equal" dxfId="0">
      <formula>"MISSING"</formula>
    </cfRule>
  </conditionalFormatting>
  <dataValidations count="4">
    <dataValidation sqref="H5:H29" showDropDown="0" showInputMessage="0" showErrorMessage="0" allowBlank="1" errorTitle="Invalid value" error="Pick a value from the list" type="list">
      <formula1>"High,Medium,Low"</formula1>
    </dataValidation>
    <dataValidation sqref="I5:I29" showDropDown="0" showInputMessage="0" showErrorMessage="0" allowBlank="1" errorTitle="Invalid value" error="Pick a value from the list" type="list">
      <formula1>"Draft,In review,Accepted,Rejected,Deferred"</formula1>
    </dataValidation>
    <dataValidation sqref="J5:J29" showDropDown="0" showInputMessage="0" showErrorMessage="0" allowBlank="1" errorTitle="Invalid value" error="Pick a value from the list" type="list">
      <formula1>"Test,Analysis,Review,Inspection,Demonstration"</formula1>
    </dataValidation>
    <dataValidation sqref="D5:D29" showDropDown="0" showInputMessage="0" showErrorMessage="0" allowBlank="1" type="list">
      <formula1>"Functional,Safety,Non-functional,Interface,Performance,Constraint"</formula1>
    </dataValidation>
  </dataValidations>
  <pageMargins left="0.75" right="0.75" top="1" bottom="1" header="0.5" footer="0.5"/>
  <pageSetup orientation="landscape" fitToHeight="0" fitToWidth="1"/>
  <headerFooter>
    <oddHeader/>
    <oddFooter>&amp;LAPK9-SRS-001 v1.0&amp;RPage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G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34" customWidth="1" min="3" max="3"/>
    <col width="20" customWidth="1" min="4" max="4"/>
    <col width="18" customWidth="1" min="5" max="5"/>
    <col width="48" customWidth="1" min="6" max="6"/>
    <col width="14" customWidth="1" min="7" max="7"/>
  </cols>
  <sheetData>
    <row r="1">
      <c r="A1" s="11" t="inlineStr">
        <is>
          <t>Software Components (SWE.2)</t>
        </is>
      </c>
    </row>
    <row r="2">
      <c r="A2" s="12" t="inlineStr">
        <is>
          <t>APK9-SRS-001  |  Version 1.0  |  Elements of the software architecture</t>
        </is>
      </c>
    </row>
    <row r="4" ht="30" customHeight="1">
      <c r="A4" s="13" t="inlineStr">
        <is>
          <t>Component ID</t>
        </is>
      </c>
      <c r="B4" s="13" t="inlineStr">
        <is>
          <t>Name</t>
        </is>
      </c>
      <c r="C4" s="13" t="inlineStr">
        <is>
          <t>Implementation</t>
        </is>
      </c>
      <c r="D4" s="13" t="inlineStr">
        <is>
          <t>File</t>
        </is>
      </c>
      <c r="E4" s="13" t="inlineStr">
        <is>
          <t>Execution context</t>
        </is>
      </c>
      <c r="F4" s="13" t="inlineStr">
        <is>
          <t>Responsibility</t>
        </is>
      </c>
      <c r="G4" s="13" t="inlineStr">
        <is>
          <t># SW req allocated</t>
        </is>
      </c>
    </row>
    <row r="5">
      <c r="A5" s="15" t="inlineStr">
        <is>
          <t>SWC-LL</t>
        </is>
      </c>
      <c r="B5" s="14" t="inlineStr">
        <is>
          <t>Link layer</t>
        </is>
      </c>
      <c r="C5" s="14" t="inlineStr">
        <is>
          <t>RX ISR, QueueFrame, LinkLayer(), SendFrame()</t>
        </is>
      </c>
      <c r="D5" s="14" t="inlineStr">
        <is>
          <t>Core/Src/apk9.c</t>
        </is>
      </c>
      <c r="E5" s="15" t="inlineStr">
        <is>
          <t>Interrupt + task prio 3</t>
        </is>
      </c>
      <c r="F5" s="14" t="inlineStr">
        <is>
          <t>Frames -&gt; shared variables, answers.</t>
        </is>
      </c>
      <c r="G5" s="15">
        <f>COUNTIF('SW Requirements'!$E$5:$E$200,"*"&amp;A5&amp;"*")</f>
        <v/>
      </c>
    </row>
    <row r="6">
      <c r="A6" s="17" t="inlineStr">
        <is>
          <t>SWC-CTRL</t>
        </is>
      </c>
      <c r="B6" s="18" t="inlineStr">
        <is>
          <t>ControlTask</t>
        </is>
      </c>
      <c r="C6" s="18" t="inlineStr">
        <is>
          <t>ControlTask(), 100 ms</t>
        </is>
      </c>
      <c r="D6" s="18" t="inlineStr">
        <is>
          <t>Core/Src/apk9.c</t>
        </is>
      </c>
      <c r="E6" s="17" t="inlineStr">
        <is>
          <t>Task prio 2</t>
        </is>
      </c>
      <c r="F6" s="18" t="inlineStr">
        <is>
          <t>Thermostat, PowerRequest, heartbeat.</t>
        </is>
      </c>
      <c r="G6" s="17">
        <f>COUNTIF('SW Requirements'!$E$5:$E$200,"*"&amp;A6&amp;"*")</f>
        <v/>
      </c>
    </row>
    <row r="7">
      <c r="A7" s="15" t="inlineStr">
        <is>
          <t>SWC-SAFE</t>
        </is>
      </c>
      <c r="B7" s="14" t="inlineStr">
        <is>
          <t>SafetyTask</t>
        </is>
      </c>
      <c r="C7" s="14" t="inlineStr">
        <is>
          <t>SafetyTask(), CheckErrors(), WriteOutputs(), 50 ms</t>
        </is>
      </c>
      <c r="D7" s="14" t="inlineStr">
        <is>
          <t>Core/Src/apk9.c</t>
        </is>
      </c>
      <c r="E7" s="15" t="inlineStr">
        <is>
          <t>Task prio 4</t>
        </is>
      </c>
      <c r="F7" s="14" t="inlineStr">
        <is>
          <t>4 errors, NORMAL / SAFE, only output writer, reset.</t>
        </is>
      </c>
      <c r="G7" s="15">
        <f>COUNTIF('SW Requirements'!$E$5:$E$200,"*"&amp;A7&amp;"*")</f>
        <v/>
      </c>
    </row>
    <row r="8">
      <c r="A8" s="17" t="inlineStr">
        <is>
          <t>SWC-GUI</t>
        </is>
      </c>
      <c r="B8" s="18" t="inlineStr">
        <is>
          <t>Host GUI</t>
        </is>
      </c>
      <c r="C8" s="18" t="inlineStr">
        <is>
          <t>MainWindow, Chart, plant model</t>
        </is>
      </c>
      <c r="D8" s="18" t="inlineStr">
        <is>
          <t>tools/apk9_gui.py</t>
        </is>
      </c>
      <c r="E8" s="17" t="inlineStr">
        <is>
          <t>PyQt5</t>
        </is>
      </c>
      <c r="F8" s="18" t="inlineStr">
        <is>
          <t>Sensor + actuators + water, faults, display.</t>
        </is>
      </c>
      <c r="G8" s="17">
        <f>COUNTIF('SW Requirements'!$E$5:$E$200,"*"&amp;A8&amp;"*")</f>
        <v/>
      </c>
    </row>
    <row r="9">
      <c r="A9" s="15" t="inlineStr">
        <is>
          <t>SWC-SIM</t>
        </is>
      </c>
      <c r="B9" s="14" t="inlineStr">
        <is>
          <t>Board simulator</t>
        </is>
      </c>
      <c r="C9" s="14" t="inlineStr">
        <is>
          <t>SimBoard</t>
        </is>
      </c>
      <c r="D9" s="14" t="inlineStr">
        <is>
          <t>tools/apk9_gui.py</t>
        </is>
      </c>
      <c r="E9" s="15" t="inlineStr">
        <is>
          <t>Python threads</t>
        </is>
      </c>
      <c r="F9" s="14" t="inlineStr">
        <is>
          <t>Software twin of apk9.c.</t>
        </is>
      </c>
      <c r="G9" s="15">
        <f>COUNTIF('SW Requirements'!$E$5:$E$200,"*"&amp;A9&amp;"*")</f>
        <v/>
      </c>
    </row>
  </sheetData>
  <autoFilter ref="A4:G9"/>
  <pageMargins left="0.75" right="0.75" top="1" bottom="1" header="0.5" footer="0.5"/>
  <pageSetup orientation="landscape" fitToHeight="0" fitToWidth="1"/>
  <headerFooter>
    <oddHeader/>
    <oddFooter>&amp;LAPK9-SRS-001 v1.0&amp;RPage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K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1" customWidth="1" min="3" max="3"/>
    <col width="26" customWidth="1" min="4" max="4"/>
    <col width="40" customWidth="1" min="5" max="5"/>
    <col width="42" customWidth="1" min="6" max="6"/>
    <col width="24" customWidth="1" min="7" max="7"/>
    <col width="10" customWidth="1" min="8" max="8"/>
    <col width="11" customWidth="1" min="9" max="9"/>
    <col width="12" customWidth="1" min="10" max="10"/>
    <col width="20" customWidth="1" min="11" max="11"/>
  </cols>
  <sheetData>
    <row r="1">
      <c r="A1" s="11" t="inlineStr">
        <is>
          <t>Software Qualification Test Specification (SWE.6)</t>
        </is>
      </c>
    </row>
    <row r="2">
      <c r="A2" s="12" t="inlineStr">
        <is>
          <t>APK9-SRS-001  |  Version 1.0  |  Fill in Result, Date and Tester after each run</t>
        </is>
      </c>
    </row>
    <row r="4" ht="30" customHeight="1">
      <c r="A4" s="13" t="inlineStr">
        <is>
          <t>Test ID</t>
        </is>
      </c>
      <c r="B4" s="13" t="inlineStr">
        <is>
          <t>Title</t>
        </is>
      </c>
      <c r="C4" s="13" t="inlineStr">
        <is>
          <t>Method</t>
        </is>
      </c>
      <c r="D4" s="13" t="inlineStr">
        <is>
          <t>Precondition</t>
        </is>
      </c>
      <c r="E4" s="13" t="inlineStr">
        <is>
          <t>Steps</t>
        </is>
      </c>
      <c r="F4" s="13" t="inlineStr">
        <is>
          <t>Expected result</t>
        </is>
      </c>
      <c r="G4" s="13" t="inlineStr">
        <is>
          <t>Verifies</t>
        </is>
      </c>
      <c r="H4" s="13" t="inlineStr">
        <is>
          <t>Result</t>
        </is>
      </c>
      <c r="I4" s="13" t="inlineStr">
        <is>
          <t>Date</t>
        </is>
      </c>
      <c r="J4" s="13" t="inlineStr">
        <is>
          <t>Tester</t>
        </is>
      </c>
      <c r="K4" s="13" t="inlineStr">
        <is>
          <t>Remark</t>
        </is>
      </c>
    </row>
    <row r="5">
      <c r="A5" s="15" t="inlineStr">
        <is>
          <t>TC-01</t>
        </is>
      </c>
      <c r="B5" s="14" t="inlineStr">
        <is>
          <t>Start-up and link</t>
        </is>
      </c>
      <c r="C5" s="15" t="inlineStr">
        <is>
          <t>Test</t>
        </is>
      </c>
      <c r="D5" s="14" t="inlineStr">
        <is>
          <t>Board running APK9, GUI connected</t>
        </is>
      </c>
      <c r="E5" s="14" t="inlineStr">
        <is>
          <t>Reset the board; click Get mode; ping.</t>
        </is>
      </c>
      <c r="F5" s="14" t="inlineStr">
        <is>
          <t>AA 74 00, AA 70 00; AA E4 00; AA 81 xx.</t>
        </is>
      </c>
      <c r="G5" s="14" t="inlineStr">
        <is>
          <t>SW-REQ-001, SW-REQ-017, SW-REQ-019</t>
        </is>
      </c>
      <c r="H5" s="16" t="inlineStr">
        <is>
          <t>Not run</t>
        </is>
      </c>
      <c r="I5" s="19" t="inlineStr"/>
      <c r="J5" s="19" t="inlineStr"/>
      <c r="K5" s="19" t="inlineStr"/>
    </row>
    <row r="6">
      <c r="A6" s="17" t="inlineStr">
        <is>
          <t>TC-02</t>
        </is>
      </c>
      <c r="B6" s="18" t="inlineStr">
        <is>
          <t>Normal regulation</t>
        </is>
      </c>
      <c r="C6" s="17" t="inlineStr">
        <is>
          <t>Test</t>
        </is>
      </c>
      <c r="D6" s="18" t="inlineStr">
        <is>
          <t>NORMAL, water 20 C</t>
        </is>
      </c>
      <c r="E6" s="18" t="inlineStr">
        <is>
          <t>Wait 60 s.</t>
        </is>
      </c>
      <c r="F6" s="18" t="inlineStr">
        <is>
          <t>Heater ON until 40 C, then cycles between 38 and 40 C; relay closed; no error.</t>
        </is>
      </c>
      <c r="G6" s="18" t="inlineStr">
        <is>
          <t>SW-REQ-002, SW-REQ-003, SW-REQ-012, SW-REQ-018, SW-REQ-022</t>
        </is>
      </c>
      <c r="H6" s="16" t="inlineStr">
        <is>
          <t>Not run</t>
        </is>
      </c>
      <c r="I6" s="19" t="inlineStr"/>
      <c r="J6" s="19" t="inlineStr"/>
      <c r="K6" s="19" t="inlineStr"/>
    </row>
    <row r="7">
      <c r="A7" s="15" t="inlineStr">
        <is>
          <t>TC-03</t>
        </is>
      </c>
      <c r="B7" s="14" t="inlineStr">
        <is>
          <t>Sensor wire cut</t>
        </is>
      </c>
      <c r="C7" s="15" t="inlineStr">
        <is>
          <t>Test</t>
        </is>
      </c>
      <c r="D7" s="14" t="inlineStr">
        <is>
          <t>NORMAL</t>
        </is>
      </c>
      <c r="E7" s="14" t="inlineStr">
        <is>
          <t>Tick 'Sensor wire cut'.</t>
        </is>
      </c>
      <c r="F7" s="14" t="inlineStr">
        <is>
          <t>SAFE within 50 ms, EVT_ERROR 01, heater 0, relay open; reset accepted after untick.</t>
        </is>
      </c>
      <c r="G7" s="14" t="inlineStr">
        <is>
          <t>SW-REQ-007, SW-REQ-013, SW-REQ-023</t>
        </is>
      </c>
      <c r="H7" s="16" t="inlineStr">
        <is>
          <t>Not run</t>
        </is>
      </c>
      <c r="I7" s="19" t="inlineStr"/>
      <c r="J7" s="19" t="inlineStr"/>
      <c r="K7" s="19" t="inlineStr"/>
    </row>
    <row r="8">
      <c r="A8" s="17" t="inlineStr">
        <is>
          <t>TC-04</t>
        </is>
      </c>
      <c r="B8" s="18" t="inlineStr">
        <is>
          <t>Cable lost</t>
        </is>
      </c>
      <c r="C8" s="17" t="inlineStr">
        <is>
          <t>Test</t>
        </is>
      </c>
      <c r="D8" s="18" t="inlineStr">
        <is>
          <t>NORMAL</t>
        </is>
      </c>
      <c r="E8" s="18" t="inlineStr">
        <is>
          <t>Tick 'Cable lost'.</t>
        </is>
      </c>
      <c r="F8" s="18" t="inlineStr">
        <is>
          <t>SAFE within 600 ms, EVT_ERROR 02.</t>
        </is>
      </c>
      <c r="G8" s="18" t="inlineStr">
        <is>
          <t>SW-REQ-008, SW-REQ-013, SW-REQ-023</t>
        </is>
      </c>
      <c r="H8" s="16" t="inlineStr">
        <is>
          <t>Not run</t>
        </is>
      </c>
      <c r="I8" s="19" t="inlineStr"/>
      <c r="J8" s="19" t="inlineStr"/>
      <c r="K8" s="19" t="inlineStr"/>
    </row>
    <row r="9">
      <c r="A9" s="15" t="inlineStr">
        <is>
          <t>TC-05</t>
        </is>
      </c>
      <c r="B9" s="14" t="inlineStr">
        <is>
          <t>Heater stuck ON</t>
        </is>
      </c>
      <c r="C9" s="15" t="inlineStr">
        <is>
          <t>Test</t>
        </is>
      </c>
      <c r="D9" s="14" t="inlineStr">
        <is>
          <t>NORMAL</t>
        </is>
      </c>
      <c r="E9" s="14" t="inlineStr">
        <is>
          <t>Tick 'Heater stuck ON'; RESET at 85 C; untick; RESET at 55 C.</t>
        </is>
      </c>
      <c r="F9" s="14" t="inlineStr">
        <is>
          <t>SAFE at &gt; 90 C, EVT_ERROR 04, relay open, T falls, FAILURE never shown; reset refused (E6) then accepted, reboot, NORMAL.</t>
        </is>
      </c>
      <c r="G9" s="14" t="inlineStr">
        <is>
          <t>SW-REQ-009, SW-REQ-013, SW-REQ-014, SW-REQ-015, SW-REQ-016, SW-REQ-023</t>
        </is>
      </c>
      <c r="H9" s="16" t="inlineStr">
        <is>
          <t>Not run</t>
        </is>
      </c>
      <c r="I9" s="19" t="inlineStr"/>
      <c r="J9" s="19" t="inlineStr"/>
      <c r="K9" s="19" t="inlineStr"/>
    </row>
    <row r="10">
      <c r="A10" s="17" t="inlineStr">
        <is>
          <t>TC-06</t>
        </is>
      </c>
      <c r="B10" s="18" t="inlineStr">
        <is>
          <t>Software deadlock</t>
        </is>
      </c>
      <c r="C10" s="17" t="inlineStr">
        <is>
          <t>Test</t>
        </is>
      </c>
      <c r="D10" s="18" t="inlineStr">
        <is>
          <t>NORMAL</t>
        </is>
      </c>
      <c r="E10" s="18" t="inlineStr">
        <is>
          <t>Click 'SW bug: deadlock'; then RESET.</t>
        </is>
      </c>
      <c r="F10" s="18" t="inlineStr">
        <is>
          <t>SAFE within 400 ms, EVT_ERROR 08; reset accepted, EVT_BOOT, NORMAL.</t>
        </is>
      </c>
      <c r="G10" s="18" t="inlineStr">
        <is>
          <t>SW-REQ-004, SW-REQ-010, SW-REQ-013, SW-REQ-016, SW-REQ-020, SW-REQ-023</t>
        </is>
      </c>
      <c r="H10" s="16" t="inlineStr">
        <is>
          <t>Not run</t>
        </is>
      </c>
      <c r="I10" s="19" t="inlineStr"/>
      <c r="J10" s="19" t="inlineStr"/>
      <c r="K10" s="19" t="inlineStr"/>
    </row>
    <row r="11">
      <c r="A11" s="15" t="inlineStr">
        <is>
          <t>TC-07</t>
        </is>
      </c>
      <c r="B11" s="14" t="inlineStr">
        <is>
          <t>GUI and simulator</t>
        </is>
      </c>
      <c r="C11" s="15" t="inlineStr">
        <is>
          <t>Test</t>
        </is>
      </c>
      <c r="D11" s="14" t="inlineStr">
        <is>
          <t>GUI, port 'Simulator (no board)'</t>
        </is>
      </c>
      <c r="E11" s="14" t="inlineStr">
        <is>
          <t>Repeat TC-01..TC-06.</t>
        </is>
      </c>
      <c r="F11" s="14" t="inlineStr">
        <is>
          <t>Same results as the board.</t>
        </is>
      </c>
      <c r="G11" s="14" t="inlineStr">
        <is>
          <t>SW-REQ-019, SW-REQ-024, SW-REQ-025</t>
        </is>
      </c>
      <c r="H11" s="16" t="inlineStr">
        <is>
          <t>Not run</t>
        </is>
      </c>
      <c r="I11" s="19" t="inlineStr"/>
      <c r="J11" s="19" t="inlineStr"/>
      <c r="K11" s="19" t="inlineStr"/>
    </row>
    <row r="12">
      <c r="A12" s="17" t="inlineStr">
        <is>
          <t>TC-08</t>
        </is>
      </c>
      <c r="B12" s="18" t="inlineStr">
        <is>
          <t>Code review</t>
        </is>
      </c>
      <c r="C12" s="17" t="inlineStr">
        <is>
          <t>Review</t>
        </is>
      </c>
      <c r="D12" s="18" t="inlineStr">
        <is>
          <t>apk9.c</t>
        </is>
      </c>
      <c r="E12" s="18" t="inlineStr">
        <is>
          <t>Check single output writer, single writer per variable, priorities and periods.</t>
        </is>
      </c>
      <c r="F12" s="18" t="inlineStr">
        <is>
          <t>All checklist items OK.</t>
        </is>
      </c>
      <c r="G12" s="18" t="inlineStr">
        <is>
          <t>SW-REQ-005, SW-REQ-006, SW-REQ-011, SW-REQ-021</t>
        </is>
      </c>
      <c r="H12" s="16" t="inlineStr">
        <is>
          <t>Not run</t>
        </is>
      </c>
      <c r="I12" s="19" t="inlineStr"/>
      <c r="J12" s="19" t="inlineStr"/>
      <c r="K12" s="19" t="inlineStr"/>
    </row>
  </sheetData>
  <autoFilter ref="A4:K12"/>
  <conditionalFormatting sqref="H5:H12">
    <cfRule type="cellIs" priority="1" operator="equal" dxfId="1">
      <formula>"Passed"</formula>
    </cfRule>
    <cfRule type="cellIs" priority="2" operator="equal" dxfId="2">
      <formula>"Failed"</formula>
    </cfRule>
  </conditionalFormatting>
  <dataValidations count="1">
    <dataValidation sqref="H5:H12" showDropDown="0" showInputMessage="0" showErrorMessage="0" allowBlank="1" errorTitle="Invalid value" error="Pick a value from the list" type="list">
      <formula1>"Not run,Passed,Failed,Blocked"</formula1>
    </dataValidation>
  </dataValidations>
  <pageMargins left="0.75" right="0.75" top="1" bottom="1" header="0.5" footer="0.5"/>
  <pageSetup orientation="landscape" fitToHeight="0" fitToWidth="1"/>
  <headerFooter>
    <oddHeader/>
    <oddFooter>&amp;LAPK9-SRS-001 v1.0&amp;RPage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L30"/>
  <sheetViews>
    <sheetView showGridLines="0" workbookViewId="0">
      <pane xSplit="2" ySplit="4" topLeftCell="C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8" customWidth="1" min="11" max="11"/>
    <col width="12" customWidth="1" min="12" max="12"/>
  </cols>
  <sheetData>
    <row r="1">
      <c r="A1" s="11" t="inlineStr">
        <is>
          <t>Traceability Matrix SW Requirement x Test Case</t>
        </is>
      </c>
    </row>
    <row r="2">
      <c r="A2" s="12" t="inlineStr">
        <is>
          <t>APK9-SRS-001  |  Version 1.0  |  X = test case verifies the requirement (bidirectional, ASPICE SWE.6 BP5)</t>
        </is>
      </c>
    </row>
    <row r="4" ht="50" customHeight="1">
      <c r="A4" s="13" t="inlineStr">
        <is>
          <t>SW req</t>
        </is>
      </c>
      <c r="B4" s="13" t="inlineStr">
        <is>
          <t>Title</t>
        </is>
      </c>
      <c r="C4" s="20" t="inlineStr">
        <is>
          <t>TC-01</t>
        </is>
      </c>
      <c r="D4" s="20" t="inlineStr">
        <is>
          <t>TC-02</t>
        </is>
      </c>
      <c r="E4" s="20" t="inlineStr">
        <is>
          <t>TC-03</t>
        </is>
      </c>
      <c r="F4" s="20" t="inlineStr">
        <is>
          <t>TC-04</t>
        </is>
      </c>
      <c r="G4" s="20" t="inlineStr">
        <is>
          <t>TC-05</t>
        </is>
      </c>
      <c r="H4" s="20" t="inlineStr">
        <is>
          <t>TC-06</t>
        </is>
      </c>
      <c r="I4" s="20" t="inlineStr">
        <is>
          <t>TC-07</t>
        </is>
      </c>
      <c r="J4" s="20" t="inlineStr">
        <is>
          <t>TC-08</t>
        </is>
      </c>
      <c r="K4" s="13" t="inlineStr">
        <is>
          <t># tests</t>
        </is>
      </c>
      <c r="L4" s="13" t="inlineStr">
        <is>
          <t>Coverage</t>
        </is>
      </c>
    </row>
    <row r="5">
      <c r="A5" s="15" t="inlineStr">
        <is>
          <t>SW-REQ-001</t>
        </is>
      </c>
      <c r="B5" s="14" t="inlineStr">
        <is>
          <t>Link layer</t>
        </is>
      </c>
      <c r="C5" s="15" t="inlineStr">
        <is>
          <t>X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>
        <f>COUNTIF(C5:J5,"X")</f>
        <v/>
      </c>
      <c r="L5" s="15">
        <f>IF(K5&gt;0,"Covered","NOT COVERED")</f>
        <v/>
      </c>
    </row>
    <row r="6">
      <c r="A6" s="17" t="inlineStr">
        <is>
          <t>SW-REQ-002</t>
        </is>
      </c>
      <c r="B6" s="18" t="inlineStr">
        <is>
          <t>Sensor input</t>
        </is>
      </c>
      <c r="C6" s="17" t="inlineStr"/>
      <c r="D6" s="17" t="inlineStr">
        <is>
          <t>X</t>
        </is>
      </c>
      <c r="E6" s="17" t="inlineStr"/>
      <c r="F6" s="17" t="inlineStr"/>
      <c r="G6" s="17" t="inlineStr"/>
      <c r="H6" s="17" t="inlineStr"/>
      <c r="I6" s="17" t="inlineStr"/>
      <c r="J6" s="17" t="inlineStr"/>
      <c r="K6" s="17">
        <f>COUNTIF(C6:J6,"X")</f>
        <v/>
      </c>
      <c r="L6" s="17">
        <f>IF(K6&gt;0,"Covered","NOT COVERED")</f>
        <v/>
      </c>
    </row>
    <row r="7">
      <c r="A7" s="15" t="inlineStr">
        <is>
          <t>SW-REQ-003</t>
        </is>
      </c>
      <c r="B7" s="14" t="inlineStr">
        <is>
          <t>Thermostat</t>
        </is>
      </c>
      <c r="C7" s="15" t="inlineStr"/>
      <c r="D7" s="15" t="inlineStr">
        <is>
          <t>X</t>
        </is>
      </c>
      <c r="E7" s="15" t="inlineStr"/>
      <c r="F7" s="15" t="inlineStr"/>
      <c r="G7" s="15" t="inlineStr"/>
      <c r="H7" s="15" t="inlineStr"/>
      <c r="I7" s="15" t="inlineStr"/>
      <c r="J7" s="15" t="inlineStr"/>
      <c r="K7" s="15">
        <f>COUNTIF(C7:J7,"X")</f>
        <v/>
      </c>
      <c r="L7" s="15">
        <f>IF(K7&gt;0,"Covered","NOT COVERED")</f>
        <v/>
      </c>
    </row>
    <row r="8">
      <c r="A8" s="17" t="inlineStr">
        <is>
          <t>SW-REQ-004</t>
        </is>
      </c>
      <c r="B8" s="18" t="inlineStr">
        <is>
          <t>Heartbeat</t>
        </is>
      </c>
      <c r="C8" s="17" t="inlineStr"/>
      <c r="D8" s="17" t="inlineStr"/>
      <c r="E8" s="17" t="inlineStr"/>
      <c r="F8" s="17" t="inlineStr"/>
      <c r="G8" s="17" t="inlineStr"/>
      <c r="H8" s="17" t="inlineStr">
        <is>
          <t>X</t>
        </is>
      </c>
      <c r="I8" s="17" t="inlineStr"/>
      <c r="J8" s="17" t="inlineStr"/>
      <c r="K8" s="17">
        <f>COUNTIF(C8:J8,"X")</f>
        <v/>
      </c>
      <c r="L8" s="17">
        <f>IF(K8&gt;0,"Covered","NOT COVERED")</f>
        <v/>
      </c>
    </row>
    <row r="9">
      <c r="A9" s="15" t="inlineStr">
        <is>
          <t>SW-REQ-005</t>
        </is>
      </c>
      <c r="B9" s="14" t="inlineStr">
        <is>
          <t>No output in the function</t>
        </is>
      </c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>
        <is>
          <t>X</t>
        </is>
      </c>
      <c r="K9" s="15">
        <f>COUNTIF(C9:J9,"X")</f>
        <v/>
      </c>
      <c r="L9" s="15">
        <f>IF(K9&gt;0,"Covered","NOT COVERED")</f>
        <v/>
      </c>
    </row>
    <row r="10">
      <c r="A10" s="17" t="inlineStr">
        <is>
          <t>SW-REQ-006</t>
        </is>
      </c>
      <c r="B10" s="18" t="inlineStr">
        <is>
          <t>Single output writer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>
        <is>
          <t>X</t>
        </is>
      </c>
      <c r="K10" s="17">
        <f>COUNTIF(C10:J10,"X")</f>
        <v/>
      </c>
      <c r="L10" s="17">
        <f>IF(K10&gt;0,"Covered","NOT COVERED")</f>
        <v/>
      </c>
    </row>
    <row r="11">
      <c r="A11" s="15" t="inlineStr">
        <is>
          <t>SW-REQ-007</t>
        </is>
      </c>
      <c r="B11" s="14" t="inlineStr">
        <is>
          <t>Sensor error</t>
        </is>
      </c>
      <c r="C11" s="15" t="inlineStr"/>
      <c r="D11" s="15" t="inlineStr"/>
      <c r="E11" s="15" t="inlineStr">
        <is>
          <t>X</t>
        </is>
      </c>
      <c r="F11" s="15" t="inlineStr"/>
      <c r="G11" s="15" t="inlineStr"/>
      <c r="H11" s="15" t="inlineStr"/>
      <c r="I11" s="15" t="inlineStr"/>
      <c r="J11" s="15" t="inlineStr"/>
      <c r="K11" s="15">
        <f>COUNTIF(C11:J11,"X")</f>
        <v/>
      </c>
      <c r="L11" s="15">
        <f>IF(K11&gt;0,"Covered","NOT COVERED")</f>
        <v/>
      </c>
    </row>
    <row r="12">
      <c r="A12" s="17" t="inlineStr">
        <is>
          <t>SW-REQ-008</t>
        </is>
      </c>
      <c r="B12" s="18" t="inlineStr">
        <is>
          <t>Timeout error</t>
        </is>
      </c>
      <c r="C12" s="17" t="inlineStr"/>
      <c r="D12" s="17" t="inlineStr"/>
      <c r="E12" s="17" t="inlineStr"/>
      <c r="F12" s="17" t="inlineStr">
        <is>
          <t>X</t>
        </is>
      </c>
      <c r="G12" s="17" t="inlineStr"/>
      <c r="H12" s="17" t="inlineStr"/>
      <c r="I12" s="17" t="inlineStr"/>
      <c r="J12" s="17" t="inlineStr"/>
      <c r="K12" s="17">
        <f>COUNTIF(C12:J12,"X")</f>
        <v/>
      </c>
      <c r="L12" s="17">
        <f>IF(K12&gt;0,"Covered","NOT COVERED")</f>
        <v/>
      </c>
    </row>
    <row r="13">
      <c r="A13" s="15" t="inlineStr">
        <is>
          <t>SW-REQ-009</t>
        </is>
      </c>
      <c r="B13" s="14" t="inlineStr">
        <is>
          <t>Overtemperature error</t>
        </is>
      </c>
      <c r="C13" s="15" t="inlineStr"/>
      <c r="D13" s="15" t="inlineStr"/>
      <c r="E13" s="15" t="inlineStr"/>
      <c r="F13" s="15" t="inlineStr"/>
      <c r="G13" s="15" t="inlineStr">
        <is>
          <t>X</t>
        </is>
      </c>
      <c r="H13" s="15" t="inlineStr"/>
      <c r="I13" s="15" t="inlineStr"/>
      <c r="J13" s="15" t="inlineStr"/>
      <c r="K13" s="15">
        <f>COUNTIF(C13:J13,"X")</f>
        <v/>
      </c>
      <c r="L13" s="15">
        <f>IF(K13&gt;0,"Covered","NOT COVERED")</f>
        <v/>
      </c>
    </row>
    <row r="14">
      <c r="A14" s="17" t="inlineStr">
        <is>
          <t>SW-REQ-010</t>
        </is>
      </c>
      <c r="B14" s="18" t="inlineStr">
        <is>
          <t>Alive error</t>
        </is>
      </c>
      <c r="C14" s="17" t="inlineStr"/>
      <c r="D14" s="17" t="inlineStr"/>
      <c r="E14" s="17" t="inlineStr"/>
      <c r="F14" s="17" t="inlineStr"/>
      <c r="G14" s="17" t="inlineStr"/>
      <c r="H14" s="17" t="inlineStr">
        <is>
          <t>X</t>
        </is>
      </c>
      <c r="I14" s="17" t="inlineStr"/>
      <c r="J14" s="17" t="inlineStr"/>
      <c r="K14" s="17">
        <f>COUNTIF(C14:J14,"X")</f>
        <v/>
      </c>
      <c r="L14" s="17">
        <f>IF(K14&gt;0,"Covered","NOT COVERED")</f>
        <v/>
      </c>
    </row>
    <row r="15">
      <c r="A15" s="15" t="inlineStr">
        <is>
          <t>SW-REQ-011</t>
        </is>
      </c>
      <c r="B15" s="14" t="inlineStr">
        <is>
          <t>Supervision period</t>
        </is>
      </c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>
        <is>
          <t>X</t>
        </is>
      </c>
      <c r="K15" s="15">
        <f>COUNTIF(C15:J15,"X")</f>
        <v/>
      </c>
      <c r="L15" s="15">
        <f>IF(K15&gt;0,"Covered","NOT COVERED")</f>
        <v/>
      </c>
    </row>
    <row r="16">
      <c r="A16" s="17" t="inlineStr">
        <is>
          <t>SW-REQ-012</t>
        </is>
      </c>
      <c r="B16" s="18" t="inlineStr">
        <is>
          <t>NORMAL outputs</t>
        </is>
      </c>
      <c r="C16" s="17" t="inlineStr"/>
      <c r="D16" s="17" t="inlineStr">
        <is>
          <t>X</t>
        </is>
      </c>
      <c r="E16" s="17" t="inlineStr"/>
      <c r="F16" s="17" t="inlineStr"/>
      <c r="G16" s="17" t="inlineStr"/>
      <c r="H16" s="17" t="inlineStr"/>
      <c r="I16" s="17" t="inlineStr"/>
      <c r="J16" s="17" t="inlineStr"/>
      <c r="K16" s="17">
        <f>COUNTIF(C16:J16,"X")</f>
        <v/>
      </c>
      <c r="L16" s="17">
        <f>IF(K16&gt;0,"Covered","NOT COVERED")</f>
        <v/>
      </c>
    </row>
    <row r="17">
      <c r="A17" s="15" t="inlineStr">
        <is>
          <t>SW-REQ-013</t>
        </is>
      </c>
      <c r="B17" s="14" t="inlineStr">
        <is>
          <t>Enter SAFE</t>
        </is>
      </c>
      <c r="C17" s="15" t="inlineStr"/>
      <c r="D17" s="15" t="inlineStr"/>
      <c r="E17" s="15" t="inlineStr">
        <is>
          <t>X</t>
        </is>
      </c>
      <c r="F17" s="15" t="inlineStr">
        <is>
          <t>X</t>
        </is>
      </c>
      <c r="G17" s="15" t="inlineStr">
        <is>
          <t>X</t>
        </is>
      </c>
      <c r="H17" s="15" t="inlineStr">
        <is>
          <t>X</t>
        </is>
      </c>
      <c r="I17" s="15" t="inlineStr"/>
      <c r="J17" s="15" t="inlineStr"/>
      <c r="K17" s="15">
        <f>COUNTIF(C17:J17,"X")</f>
        <v/>
      </c>
      <c r="L17" s="15">
        <f>IF(K17&gt;0,"Covered","NOT COVERED")</f>
        <v/>
      </c>
    </row>
    <row r="18">
      <c r="A18" s="17" t="inlineStr">
        <is>
          <t>SW-REQ-014</t>
        </is>
      </c>
      <c r="B18" s="18" t="inlineStr">
        <is>
          <t>Stay SAFE</t>
        </is>
      </c>
      <c r="C18" s="17" t="inlineStr"/>
      <c r="D18" s="17" t="inlineStr"/>
      <c r="E18" s="17" t="inlineStr"/>
      <c r="F18" s="17" t="inlineStr"/>
      <c r="G18" s="17" t="inlineStr">
        <is>
          <t>X</t>
        </is>
      </c>
      <c r="H18" s="17" t="inlineStr"/>
      <c r="I18" s="17" t="inlineStr"/>
      <c r="J18" s="17" t="inlineStr"/>
      <c r="K18" s="17">
        <f>COUNTIF(C18:J18,"X")</f>
        <v/>
      </c>
      <c r="L18" s="17">
        <f>IF(K18&gt;0,"Covered","NOT COVERED")</f>
        <v/>
      </c>
    </row>
    <row r="19">
      <c r="A19" s="15" t="inlineStr">
        <is>
          <t>SW-REQ-015</t>
        </is>
      </c>
      <c r="B19" s="14" t="inlineStr">
        <is>
          <t>Reset request</t>
        </is>
      </c>
      <c r="C19" s="15" t="inlineStr"/>
      <c r="D19" s="15" t="inlineStr"/>
      <c r="E19" s="15" t="inlineStr"/>
      <c r="F19" s="15" t="inlineStr"/>
      <c r="G19" s="15" t="inlineStr">
        <is>
          <t>X</t>
        </is>
      </c>
      <c r="H19" s="15" t="inlineStr"/>
      <c r="I19" s="15" t="inlineStr"/>
      <c r="J19" s="15" t="inlineStr"/>
      <c r="K19" s="15">
        <f>COUNTIF(C19:J19,"X")</f>
        <v/>
      </c>
      <c r="L19" s="15">
        <f>IF(K19&gt;0,"Covered","NOT COVERED")</f>
        <v/>
      </c>
    </row>
    <row r="20">
      <c r="A20" s="17" t="inlineStr">
        <is>
          <t>SW-REQ-016</t>
        </is>
      </c>
      <c r="B20" s="18" t="inlineStr">
        <is>
          <t>Restart</t>
        </is>
      </c>
      <c r="C20" s="17" t="inlineStr"/>
      <c r="D20" s="17" t="inlineStr"/>
      <c r="E20" s="17" t="inlineStr"/>
      <c r="F20" s="17" t="inlineStr"/>
      <c r="G20" s="17" t="inlineStr">
        <is>
          <t>X</t>
        </is>
      </c>
      <c r="H20" s="17" t="inlineStr">
        <is>
          <t>X</t>
        </is>
      </c>
      <c r="I20" s="17" t="inlineStr"/>
      <c r="J20" s="17" t="inlineStr"/>
      <c r="K20" s="17">
        <f>COUNTIF(C20:J20,"X")</f>
        <v/>
      </c>
      <c r="L20" s="17">
        <f>IF(K20&gt;0,"Covered","NOT COVERED")</f>
        <v/>
      </c>
    </row>
    <row r="21">
      <c r="A21" s="15" t="inlineStr">
        <is>
          <t>SW-REQ-017</t>
        </is>
      </c>
      <c r="B21" s="14" t="inlineStr">
        <is>
          <t>Start-up</t>
        </is>
      </c>
      <c r="C21" s="15" t="inlineStr">
        <is>
          <t>X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>
        <f>COUNTIF(C21:J21,"X")</f>
        <v/>
      </c>
      <c r="L21" s="15">
        <f>IF(K21&gt;0,"Covered","NOT COVERED")</f>
        <v/>
      </c>
    </row>
    <row r="22">
      <c r="A22" s="17" t="inlineStr">
        <is>
          <t>SW-REQ-018</t>
        </is>
      </c>
      <c r="B22" s="18" t="inlineStr">
        <is>
          <t>Actuator reports</t>
        </is>
      </c>
      <c r="C22" s="17" t="inlineStr"/>
      <c r="D22" s="17" t="inlineStr">
        <is>
          <t>X</t>
        </is>
      </c>
      <c r="E22" s="17" t="inlineStr"/>
      <c r="F22" s="17" t="inlineStr"/>
      <c r="G22" s="17" t="inlineStr"/>
      <c r="H22" s="17" t="inlineStr"/>
      <c r="I22" s="17" t="inlineStr"/>
      <c r="J22" s="17" t="inlineStr"/>
      <c r="K22" s="17">
        <f>COUNTIF(C22:J22,"X")</f>
        <v/>
      </c>
      <c r="L22" s="17">
        <f>IF(K22&gt;0,"Covered","NOT COVERED")</f>
        <v/>
      </c>
    </row>
    <row r="23">
      <c r="A23" s="15" t="inlineStr">
        <is>
          <t>SW-REQ-019</t>
        </is>
      </c>
      <c r="B23" s="14" t="inlineStr">
        <is>
          <t>Commands</t>
        </is>
      </c>
      <c r="C23" s="15" t="inlineStr">
        <is>
          <t>X</t>
        </is>
      </c>
      <c r="D23" s="15" t="inlineStr"/>
      <c r="E23" s="15" t="inlineStr"/>
      <c r="F23" s="15" t="inlineStr"/>
      <c r="G23" s="15" t="inlineStr"/>
      <c r="H23" s="15" t="inlineStr"/>
      <c r="I23" s="15" t="inlineStr">
        <is>
          <t>X</t>
        </is>
      </c>
      <c r="J23" s="15" t="inlineStr"/>
      <c r="K23" s="15">
        <f>COUNTIF(C23:J23,"X")</f>
        <v/>
      </c>
      <c r="L23" s="15">
        <f>IF(K23&gt;0,"Covered","NOT COVERED")</f>
        <v/>
      </c>
    </row>
    <row r="24">
      <c r="A24" s="17" t="inlineStr">
        <is>
          <t>SW-REQ-020</t>
        </is>
      </c>
      <c r="B24" s="18" t="inlineStr">
        <is>
          <t>Deadlock injection</t>
        </is>
      </c>
      <c r="C24" s="17" t="inlineStr"/>
      <c r="D24" s="17" t="inlineStr"/>
      <c r="E24" s="17" t="inlineStr"/>
      <c r="F24" s="17" t="inlineStr"/>
      <c r="G24" s="17" t="inlineStr"/>
      <c r="H24" s="17" t="inlineStr">
        <is>
          <t>X</t>
        </is>
      </c>
      <c r="I24" s="17" t="inlineStr"/>
      <c r="J24" s="17" t="inlineStr"/>
      <c r="K24" s="17">
        <f>COUNTIF(C24:J24,"X")</f>
        <v/>
      </c>
      <c r="L24" s="17">
        <f>IF(K24&gt;0,"Covered","NOT COVERED")</f>
        <v/>
      </c>
    </row>
    <row r="25">
      <c r="A25" s="15" t="inlineStr">
        <is>
          <t>SW-REQ-021</t>
        </is>
      </c>
      <c r="B25" s="14" t="inlineStr">
        <is>
          <t>Single writer data</t>
        </is>
      </c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>
        <is>
          <t>X</t>
        </is>
      </c>
      <c r="K25" s="15">
        <f>COUNTIF(C25:J25,"X")</f>
        <v/>
      </c>
      <c r="L25" s="15">
        <f>IF(K25&gt;0,"Covered","NOT COVERED")</f>
        <v/>
      </c>
    </row>
    <row r="26">
      <c r="A26" s="17" t="inlineStr">
        <is>
          <t>SW-REQ-022</t>
        </is>
      </c>
      <c r="B26" s="18" t="inlineStr">
        <is>
          <t>Plant model</t>
        </is>
      </c>
      <c r="C26" s="17" t="inlineStr"/>
      <c r="D26" s="17" t="inlineStr">
        <is>
          <t>X</t>
        </is>
      </c>
      <c r="E26" s="17" t="inlineStr"/>
      <c r="F26" s="17" t="inlineStr"/>
      <c r="G26" s="17" t="inlineStr"/>
      <c r="H26" s="17" t="inlineStr"/>
      <c r="I26" s="17" t="inlineStr"/>
      <c r="J26" s="17" t="inlineStr"/>
      <c r="K26" s="17">
        <f>COUNTIF(C26:J26,"X")</f>
        <v/>
      </c>
      <c r="L26" s="17">
        <f>IF(K26&gt;0,"Covered","NOT COVERED")</f>
        <v/>
      </c>
    </row>
    <row r="27">
      <c r="A27" s="15" t="inlineStr">
        <is>
          <t>SW-REQ-023</t>
        </is>
      </c>
      <c r="B27" s="14" t="inlineStr">
        <is>
          <t>Fault buttons</t>
        </is>
      </c>
      <c r="C27" s="15" t="inlineStr"/>
      <c r="D27" s="15" t="inlineStr"/>
      <c r="E27" s="15" t="inlineStr">
        <is>
          <t>X</t>
        </is>
      </c>
      <c r="F27" s="15" t="inlineStr">
        <is>
          <t>X</t>
        </is>
      </c>
      <c r="G27" s="15" t="inlineStr">
        <is>
          <t>X</t>
        </is>
      </c>
      <c r="H27" s="15" t="inlineStr">
        <is>
          <t>X</t>
        </is>
      </c>
      <c r="I27" s="15" t="inlineStr"/>
      <c r="J27" s="15" t="inlineStr"/>
      <c r="K27" s="15">
        <f>COUNTIF(C27:J27,"X")</f>
        <v/>
      </c>
      <c r="L27" s="15">
        <f>IF(K27&gt;0,"Covered","NOT COVERED")</f>
        <v/>
      </c>
    </row>
    <row r="28">
      <c r="A28" s="17" t="inlineStr">
        <is>
          <t>SW-REQ-024</t>
        </is>
      </c>
      <c r="B28" s="18" t="inlineStr">
        <is>
          <t>GUI display</t>
        </is>
      </c>
      <c r="C28" s="17" t="inlineStr"/>
      <c r="D28" s="17" t="inlineStr"/>
      <c r="E28" s="17" t="inlineStr"/>
      <c r="F28" s="17" t="inlineStr"/>
      <c r="G28" s="17" t="inlineStr"/>
      <c r="H28" s="17" t="inlineStr"/>
      <c r="I28" s="17" t="inlineStr">
        <is>
          <t>X</t>
        </is>
      </c>
      <c r="J28" s="17" t="inlineStr"/>
      <c r="K28" s="17">
        <f>COUNTIF(C28:J28,"X")</f>
        <v/>
      </c>
      <c r="L28" s="17">
        <f>IF(K28&gt;0,"Covered","NOT COVERED")</f>
        <v/>
      </c>
    </row>
    <row r="29">
      <c r="A29" s="15" t="inlineStr">
        <is>
          <t>SW-REQ-025</t>
        </is>
      </c>
      <c r="B29" s="14" t="inlineStr">
        <is>
          <t>Simulator</t>
        </is>
      </c>
      <c r="C29" s="15" t="inlineStr"/>
      <c r="D29" s="15" t="inlineStr"/>
      <c r="E29" s="15" t="inlineStr"/>
      <c r="F29" s="15" t="inlineStr"/>
      <c r="G29" s="15" t="inlineStr"/>
      <c r="H29" s="15" t="inlineStr"/>
      <c r="I29" s="15" t="inlineStr">
        <is>
          <t>X</t>
        </is>
      </c>
      <c r="J29" s="15" t="inlineStr"/>
      <c r="K29" s="15">
        <f>COUNTIF(C29:J29,"X")</f>
        <v/>
      </c>
      <c r="L29" s="15">
        <f>IF(K29&gt;0,"Covered","NOT COVERED")</f>
        <v/>
      </c>
    </row>
    <row r="30">
      <c r="A30" s="8" t="inlineStr">
        <is>
          <t># reqs</t>
        </is>
      </c>
      <c r="C30" s="21">
        <f>COUNTIF(C5:C29,"X")</f>
        <v/>
      </c>
      <c r="D30" s="21">
        <f>COUNTIF(D5:D29,"X")</f>
        <v/>
      </c>
      <c r="E30" s="21">
        <f>COUNTIF(E5:E29,"X")</f>
        <v/>
      </c>
      <c r="F30" s="21">
        <f>COUNTIF(F5:F29,"X")</f>
        <v/>
      </c>
      <c r="G30" s="21">
        <f>COUNTIF(G5:G29,"X")</f>
        <v/>
      </c>
      <c r="H30" s="21">
        <f>COUNTIF(H5:H29,"X")</f>
        <v/>
      </c>
      <c r="I30" s="21">
        <f>COUNTIF(I5:I29,"X")</f>
        <v/>
      </c>
      <c r="J30" s="21">
        <f>COUNTIF(J5:J29,"X")</f>
        <v/>
      </c>
    </row>
  </sheetData>
  <autoFilter ref="A4:L29"/>
  <conditionalFormatting sqref="C5:J29">
    <cfRule type="cellIs" priority="1" operator="equal" dxfId="3">
      <formula>"X"</formula>
    </cfRule>
  </conditionalFormatting>
  <conditionalFormatting sqref="L5:L29">
    <cfRule type="cellIs" priority="2" operator="equal" dxfId="2">
      <formula>"NOT COVERED"</formula>
    </cfRule>
    <cfRule type="cellIs" priority="3" operator="equal" dxfId="1">
      <formula>"Covered"</formula>
    </cfRule>
  </conditionalFormatting>
  <conditionalFormatting sqref="C30:J30">
    <cfRule type="cellIs" priority="4" operator="equal" dxfId="2">
      <formula>0</formula>
    </cfRule>
  </conditionalFormatting>
  <pageMargins left="0.75" right="0.75" top="1" bottom="1" header="0.5" footer="0.5"/>
  <pageSetup orientation="landscape" fitToHeight="0" fitToWidth="1"/>
  <headerFooter>
    <oddHeader/>
    <oddFooter>&amp;LAPK9-SRS-001 v1.0&amp;RPage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C4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11" t="inlineStr">
        <is>
          <t>Dashboard</t>
        </is>
      </c>
    </row>
    <row r="2">
      <c r="A2" s="12" t="inlineStr">
        <is>
          <t>APK9-SRS-001  |  Version 1.0  |  All values are formulas - they update when the sheets change</t>
        </is>
      </c>
    </row>
    <row r="4">
      <c r="A4" s="22" t="inlineStr">
        <is>
          <t>Total SW requirements</t>
        </is>
      </c>
      <c r="B4" s="4">
        <f>COUNTA('SW Requirements'!$A$5:$A$29)</f>
        <v/>
      </c>
      <c r="C4" s="4" t="n"/>
    </row>
    <row r="5">
      <c r="A5" s="22" t="inlineStr">
        <is>
          <t>Total system requirements</t>
        </is>
      </c>
      <c r="B5" s="4">
        <f>COUNTA('System Requirements'!$A$5:$A$12)</f>
        <v/>
      </c>
      <c r="C5" s="4" t="n"/>
    </row>
    <row r="6">
      <c r="A6" s="22" t="inlineStr">
        <is>
          <t>Total test cases</t>
        </is>
      </c>
      <c r="B6" s="4">
        <f>COUNTA('Test Specification'!$A$5:$A$12)</f>
        <v/>
      </c>
      <c r="C6" s="4" t="n"/>
    </row>
    <row r="7">
      <c r="A7" s="22" t="inlineStr">
        <is>
          <t>SW reqs covered by a test</t>
        </is>
      </c>
      <c r="B7" s="4">
        <f>COUNTIF(Traceability!$L$5:$L$29,"Covered")</f>
        <v/>
      </c>
      <c r="C7" s="23">
        <f>IF(B4=0,0,B7/B4)</f>
        <v/>
      </c>
    </row>
    <row r="8">
      <c r="A8" s="22" t="inlineStr">
        <is>
          <t>SYS reqs without SW req</t>
        </is>
      </c>
      <c r="B8" s="4">
        <f>COUNTIF('System Requirements'!$I$5:$I$12,0)</f>
        <v/>
      </c>
      <c r="C8" s="4" t="n"/>
    </row>
    <row r="9">
      <c r="A9" s="22" t="inlineStr">
        <is>
          <t>SW reqs with invalid parent</t>
        </is>
      </c>
      <c r="B9" s="4">
        <f>COUNTIF('SW Requirements'!$N$5:$N$29,"MISSING")</f>
        <v/>
      </c>
      <c r="C9" s="4" t="n"/>
    </row>
    <row r="11">
      <c r="A11" s="6" t="inlineStr">
        <is>
          <t>SW requirements by status</t>
        </is>
      </c>
    </row>
    <row r="12">
      <c r="A12" s="7" t="inlineStr">
        <is>
          <t>Status</t>
        </is>
      </c>
      <c r="B12" s="7" t="inlineStr">
        <is>
          <t>Count</t>
        </is>
      </c>
      <c r="C12" s="7" t="inlineStr">
        <is>
          <t>Share</t>
        </is>
      </c>
    </row>
    <row r="13">
      <c r="A13" s="4" t="inlineStr">
        <is>
          <t>Draft</t>
        </is>
      </c>
      <c r="B13" s="4">
        <f>COUNTIF('SW Requirements'!$I$5:$I$29,A13)</f>
        <v/>
      </c>
      <c r="C13" s="23">
        <f>IF($B$4=0,0,B13/$B$4)</f>
        <v/>
      </c>
    </row>
    <row r="14">
      <c r="A14" s="4" t="inlineStr">
        <is>
          <t>In review</t>
        </is>
      </c>
      <c r="B14" s="4">
        <f>COUNTIF('SW Requirements'!$I$5:$I$29,A14)</f>
        <v/>
      </c>
      <c r="C14" s="23">
        <f>IF($B$4=0,0,B14/$B$4)</f>
        <v/>
      </c>
    </row>
    <row r="15">
      <c r="A15" s="4" t="inlineStr">
        <is>
          <t>Accepted</t>
        </is>
      </c>
      <c r="B15" s="4">
        <f>COUNTIF('SW Requirements'!$I$5:$I$29,A15)</f>
        <v/>
      </c>
      <c r="C15" s="23">
        <f>IF($B$4=0,0,B15/$B$4)</f>
        <v/>
      </c>
    </row>
    <row r="16">
      <c r="A16" s="4" t="inlineStr">
        <is>
          <t>Rejected</t>
        </is>
      </c>
      <c r="B16" s="4">
        <f>COUNTIF('SW Requirements'!$I$5:$I$29,A16)</f>
        <v/>
      </c>
      <c r="C16" s="23">
        <f>IF($B$4=0,0,B16/$B$4)</f>
        <v/>
      </c>
    </row>
    <row r="17">
      <c r="A17" s="4" t="inlineStr">
        <is>
          <t>Deferred</t>
        </is>
      </c>
      <c r="B17" s="4">
        <f>COUNTIF('SW Requirements'!$I$5:$I$29,A17)</f>
        <v/>
      </c>
      <c r="C17" s="23">
        <f>IF($B$4=0,0,B17/$B$4)</f>
        <v/>
      </c>
    </row>
    <row r="20">
      <c r="A20" s="6" t="inlineStr">
        <is>
          <t>SW requirements by type</t>
        </is>
      </c>
    </row>
    <row r="21">
      <c r="A21" s="7" t="inlineStr">
        <is>
          <t>Type</t>
        </is>
      </c>
      <c r="B21" s="7" t="inlineStr">
        <is>
          <t>Count</t>
        </is>
      </c>
      <c r="C21" s="7" t="inlineStr">
        <is>
          <t>Share</t>
        </is>
      </c>
    </row>
    <row r="22">
      <c r="A22" s="4" t="inlineStr">
        <is>
          <t>Functional</t>
        </is>
      </c>
      <c r="B22" s="4">
        <f>COUNTIF('SW Requirements'!$D$5:$D$29,A22)</f>
        <v/>
      </c>
      <c r="C22" s="23">
        <f>IF($B$4=0,0,B22/$B$4)</f>
        <v/>
      </c>
    </row>
    <row r="23">
      <c r="A23" s="4" t="inlineStr">
        <is>
          <t>Safety</t>
        </is>
      </c>
      <c r="B23" s="4">
        <f>COUNTIF('SW Requirements'!$D$5:$D$29,A23)</f>
        <v/>
      </c>
      <c r="C23" s="23">
        <f>IF($B$4=0,0,B23/$B$4)</f>
        <v/>
      </c>
    </row>
    <row r="24">
      <c r="A24" s="4" t="inlineStr">
        <is>
          <t>Non-functional</t>
        </is>
      </c>
      <c r="B24" s="4">
        <f>COUNTIF('SW Requirements'!$D$5:$D$29,A24)</f>
        <v/>
      </c>
      <c r="C24" s="23">
        <f>IF($B$4=0,0,B24/$B$4)</f>
        <v/>
      </c>
    </row>
    <row r="25">
      <c r="A25" s="4" t="inlineStr">
        <is>
          <t>Interface</t>
        </is>
      </c>
      <c r="B25" s="4">
        <f>COUNTIF('SW Requirements'!$D$5:$D$29,A25)</f>
        <v/>
      </c>
      <c r="C25" s="23">
        <f>IF($B$4=0,0,B25/$B$4)</f>
        <v/>
      </c>
    </row>
    <row r="26">
      <c r="A26" s="4" t="inlineStr">
        <is>
          <t>Performance</t>
        </is>
      </c>
      <c r="B26" s="4">
        <f>COUNTIF('SW Requirements'!$D$5:$D$29,A26)</f>
        <v/>
      </c>
      <c r="C26" s="23">
        <f>IF($B$4=0,0,B26/$B$4)</f>
        <v/>
      </c>
    </row>
    <row r="27">
      <c r="A27" s="4" t="inlineStr">
        <is>
          <t>Constraint</t>
        </is>
      </c>
      <c r="B27" s="4">
        <f>COUNTIF('SW Requirements'!$D$5:$D$29,A27)</f>
        <v/>
      </c>
      <c r="C27" s="23">
        <f>IF($B$4=0,0,B27/$B$4)</f>
        <v/>
      </c>
    </row>
    <row r="30">
      <c r="A30" s="6" t="inlineStr">
        <is>
          <t>SW requirements by verification method</t>
        </is>
      </c>
    </row>
    <row r="31">
      <c r="A31" s="7" t="inlineStr">
        <is>
          <t>Method</t>
        </is>
      </c>
      <c r="B31" s="7" t="inlineStr">
        <is>
          <t>Count</t>
        </is>
      </c>
      <c r="C31" s="7" t="inlineStr">
        <is>
          <t>Share</t>
        </is>
      </c>
    </row>
    <row r="32">
      <c r="A32" s="4" t="inlineStr">
        <is>
          <t>Test</t>
        </is>
      </c>
      <c r="B32" s="4">
        <f>COUNTIF('SW Requirements'!$J$5:$J$29,A32)</f>
        <v/>
      </c>
      <c r="C32" s="23">
        <f>IF($B$4=0,0,B32/$B$4)</f>
        <v/>
      </c>
    </row>
    <row r="33">
      <c r="A33" s="4" t="inlineStr">
        <is>
          <t>Analysis</t>
        </is>
      </c>
      <c r="B33" s="4">
        <f>COUNTIF('SW Requirements'!$J$5:$J$29,A33)</f>
        <v/>
      </c>
      <c r="C33" s="23">
        <f>IF($B$4=0,0,B33/$B$4)</f>
        <v/>
      </c>
    </row>
    <row r="34">
      <c r="A34" s="4" t="inlineStr">
        <is>
          <t>Review</t>
        </is>
      </c>
      <c r="B34" s="4">
        <f>COUNTIF('SW Requirements'!$J$5:$J$29,A34)</f>
        <v/>
      </c>
      <c r="C34" s="23">
        <f>IF($B$4=0,0,B34/$B$4)</f>
        <v/>
      </c>
    </row>
    <row r="35">
      <c r="A35" s="4" t="inlineStr">
        <is>
          <t>Inspection</t>
        </is>
      </c>
      <c r="B35" s="4">
        <f>COUNTIF('SW Requirements'!$J$5:$J$29,A35)</f>
        <v/>
      </c>
      <c r="C35" s="23">
        <f>IF($B$4=0,0,B35/$B$4)</f>
        <v/>
      </c>
    </row>
    <row r="36">
      <c r="A36" s="4" t="inlineStr">
        <is>
          <t>Demonstration</t>
        </is>
      </c>
      <c r="B36" s="4">
        <f>COUNTIF('SW Requirements'!$J$5:$J$29,A36)</f>
        <v/>
      </c>
      <c r="C36" s="23">
        <f>IF($B$4=0,0,B36/$B$4)</f>
        <v/>
      </c>
    </row>
    <row r="39">
      <c r="A39" s="6" t="inlineStr">
        <is>
          <t>Test results</t>
        </is>
      </c>
    </row>
    <row r="40">
      <c r="A40" s="7" t="inlineStr">
        <is>
          <t>Result</t>
        </is>
      </c>
      <c r="B40" s="7" t="inlineStr">
        <is>
          <t>Count</t>
        </is>
      </c>
      <c r="C40" s="7" t="inlineStr">
        <is>
          <t>Share</t>
        </is>
      </c>
    </row>
    <row r="41">
      <c r="A41" s="4" t="inlineStr">
        <is>
          <t>Not run</t>
        </is>
      </c>
      <c r="B41" s="4">
        <f>COUNTIF('Test Specification'!$H$5:$H$12,A41)</f>
        <v/>
      </c>
      <c r="C41" s="23">
        <f>IF($B$6=0,0,B41/$B$6)</f>
        <v/>
      </c>
    </row>
    <row r="42">
      <c r="A42" s="4" t="inlineStr">
        <is>
          <t>Passed</t>
        </is>
      </c>
      <c r="B42" s="4">
        <f>COUNTIF('Test Specification'!$H$5:$H$12,A42)</f>
        <v/>
      </c>
      <c r="C42" s="23">
        <f>IF($B$6=0,0,B42/$B$6)</f>
        <v/>
      </c>
    </row>
    <row r="43">
      <c r="A43" s="4" t="inlineStr">
        <is>
          <t>Failed</t>
        </is>
      </c>
      <c r="B43" s="4">
        <f>COUNTIF('Test Specification'!$H$5:$H$12,A43)</f>
        <v/>
      </c>
      <c r="C43" s="23">
        <f>IF($B$6=0,0,B43/$B$6)</f>
        <v/>
      </c>
    </row>
    <row r="44">
      <c r="A44" s="4" t="inlineStr">
        <is>
          <t>Blocked</t>
        </is>
      </c>
      <c r="B44" s="4">
        <f>COUNTIF('Test Specification'!$H$5:$H$12,A44)</f>
        <v/>
      </c>
      <c r="C44" s="23">
        <f>IF($B$6=0,0,B44/$B$6)</f>
        <v/>
      </c>
    </row>
  </sheetData>
  <conditionalFormatting sqref="B8:B9">
    <cfRule type="cellIs" priority="1" operator="greaterThan" dxfId="2">
      <formula>0</formula>
    </cfRule>
  </conditionalFormatting>
  <pageMargins left="0.75" right="0.75" top="1" bottom="1" header="0.5" footer="0.5"/>
  <pageSetup orientation="landscape" fitToHeight="0" fitToWidth="1"/>
  <headerFooter>
    <oddHeader/>
    <oddFooter>&amp;LAPK9-SRS-001 v1.0&amp;RPage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2026-10-17T04:44:06Z</dcterms:created>
  <dcterms:modified xmlns:dcterms="http://purl.org/dc/terms/" xmlns:xsi="http://www.w3.org/2001/XMLSchema-instance" xsi:type="dcterms:W3CDTF">2026-10-17T04:44:06Z</dcterms:modified>
</cp:coreProperties>
</file>