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UBEmx\rtos_opcode\f4_disco_rtos\docs\"/>
    </mc:Choice>
  </mc:AlternateContent>
  <xr:revisionPtr revIDLastSave="0" documentId="13_ncr:1_{B12C778D-15EE-4F84-997C-DAD5FD07456C}" xr6:coauthVersionLast="47" xr6:coauthVersionMax="47" xr10:uidLastSave="{00000000-0000-0000-0000-000000000000}"/>
  <bookViews>
    <workbookView xWindow="0" yWindow="360" windowWidth="23256" windowHeight="13896" activeTab="2" xr2:uid="{00000000-000D-0000-FFFF-FFFF00000000}"/>
  </bookViews>
  <sheets>
    <sheet name="Cover" sheetId="1" r:id="rId1"/>
    <sheet name="System Requirements" sheetId="2" r:id="rId2"/>
    <sheet name="SW Requirements" sheetId="3" r:id="rId3"/>
    <sheet name="Interface Spec" sheetId="4" r:id="rId4"/>
    <sheet name="SW Components" sheetId="5" r:id="rId5"/>
    <sheet name="Test Specification" sheetId="6" r:id="rId6"/>
    <sheet name="Traceability" sheetId="7" r:id="rId7"/>
    <sheet name="Dashboard" sheetId="8" r:id="rId8"/>
  </sheets>
  <definedNames>
    <definedName name="_xlnm._FilterDatabase" localSheetId="4" hidden="1">'SW Components'!$A$4:$G$15</definedName>
    <definedName name="_xlnm._FilterDatabase" localSheetId="2" hidden="1">'SW Requirements'!$A$4:$O$43</definedName>
    <definedName name="_xlnm._FilterDatabase" localSheetId="1" hidden="1">'System Requirements'!$A$4:$I$15</definedName>
    <definedName name="_xlnm._FilterDatabase" localSheetId="5" hidden="1">'Test Specification'!$A$4:$K$18</definedName>
    <definedName name="_xlnm._FilterDatabase" localSheetId="6" hidden="1">Traceability!$A$4:$R$43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8" l="1"/>
  <c r="B42" i="8"/>
  <c r="B41" i="8"/>
  <c r="B40" i="8"/>
  <c r="B35" i="8"/>
  <c r="B34" i="8"/>
  <c r="B33" i="8"/>
  <c r="C33" i="8" s="1"/>
  <c r="B32" i="8"/>
  <c r="C32" i="8" s="1"/>
  <c r="B31" i="8"/>
  <c r="C31" i="8" s="1"/>
  <c r="B26" i="8"/>
  <c r="C26" i="8" s="1"/>
  <c r="B25" i="8"/>
  <c r="C25" i="8" s="1"/>
  <c r="B24" i="8"/>
  <c r="C24" i="8" s="1"/>
  <c r="B23" i="8"/>
  <c r="C23" i="8" s="1"/>
  <c r="B22" i="8"/>
  <c r="C22" i="8" s="1"/>
  <c r="B17" i="8"/>
  <c r="B16" i="8"/>
  <c r="B15" i="8"/>
  <c r="B14" i="8"/>
  <c r="B13" i="8"/>
  <c r="B6" i="8"/>
  <c r="B5" i="8"/>
  <c r="B4" i="8"/>
  <c r="P44" i="7"/>
  <c r="O44" i="7"/>
  <c r="N44" i="7"/>
  <c r="M44" i="7"/>
  <c r="L44" i="7"/>
  <c r="K44" i="7"/>
  <c r="J44" i="7"/>
  <c r="I44" i="7"/>
  <c r="H44" i="7"/>
  <c r="G44" i="7"/>
  <c r="F44" i="7"/>
  <c r="E44" i="7"/>
  <c r="D44" i="7"/>
  <c r="C44" i="7"/>
  <c r="Q43" i="7"/>
  <c r="R43" i="7" s="1"/>
  <c r="Q42" i="7"/>
  <c r="R42" i="7" s="1"/>
  <c r="Q41" i="7"/>
  <c r="R41" i="7" s="1"/>
  <c r="Q40" i="7"/>
  <c r="R40" i="7" s="1"/>
  <c r="Q39" i="7"/>
  <c r="R39" i="7" s="1"/>
  <c r="Q38" i="7"/>
  <c r="R38" i="7" s="1"/>
  <c r="Q37" i="7"/>
  <c r="R37" i="7" s="1"/>
  <c r="Q36" i="7"/>
  <c r="R36" i="7" s="1"/>
  <c r="Q35" i="7"/>
  <c r="R35" i="7" s="1"/>
  <c r="Q34" i="7"/>
  <c r="R34" i="7" s="1"/>
  <c r="Q33" i="7"/>
  <c r="R33" i="7" s="1"/>
  <c r="Q32" i="7"/>
  <c r="R32" i="7" s="1"/>
  <c r="Q31" i="7"/>
  <c r="R31" i="7" s="1"/>
  <c r="Q30" i="7"/>
  <c r="R30" i="7" s="1"/>
  <c r="Q29" i="7"/>
  <c r="R29" i="7" s="1"/>
  <c r="Q28" i="7"/>
  <c r="R28" i="7" s="1"/>
  <c r="Q27" i="7"/>
  <c r="R27" i="7" s="1"/>
  <c r="Q26" i="7"/>
  <c r="R26" i="7" s="1"/>
  <c r="Q25" i="7"/>
  <c r="R25" i="7" s="1"/>
  <c r="Q24" i="7"/>
  <c r="R24" i="7" s="1"/>
  <c r="Q23" i="7"/>
  <c r="R23" i="7" s="1"/>
  <c r="Q22" i="7"/>
  <c r="R22" i="7" s="1"/>
  <c r="Q21" i="7"/>
  <c r="R21" i="7" s="1"/>
  <c r="Q20" i="7"/>
  <c r="R20" i="7" s="1"/>
  <c r="Q19" i="7"/>
  <c r="R19" i="7" s="1"/>
  <c r="Q18" i="7"/>
  <c r="R18" i="7" s="1"/>
  <c r="Q17" i="7"/>
  <c r="R17" i="7" s="1"/>
  <c r="Q16" i="7"/>
  <c r="R16" i="7" s="1"/>
  <c r="Q15" i="7"/>
  <c r="R15" i="7" s="1"/>
  <c r="Q14" i="7"/>
  <c r="R14" i="7" s="1"/>
  <c r="Q13" i="7"/>
  <c r="R13" i="7" s="1"/>
  <c r="Q12" i="7"/>
  <c r="R12" i="7" s="1"/>
  <c r="Q11" i="7"/>
  <c r="R11" i="7" s="1"/>
  <c r="Q10" i="7"/>
  <c r="R10" i="7" s="1"/>
  <c r="Q9" i="7"/>
  <c r="R9" i="7" s="1"/>
  <c r="Q8" i="7"/>
  <c r="R8" i="7" s="1"/>
  <c r="Q7" i="7"/>
  <c r="R7" i="7" s="1"/>
  <c r="Q6" i="7"/>
  <c r="R6" i="7" s="1"/>
  <c r="Q5" i="7"/>
  <c r="R5" i="7" s="1"/>
  <c r="B7" i="8" s="1"/>
  <c r="G15" i="5"/>
  <c r="G14" i="5"/>
  <c r="G13" i="5"/>
  <c r="G12" i="5"/>
  <c r="G11" i="5"/>
  <c r="G10" i="5"/>
  <c r="G9" i="5"/>
  <c r="G8" i="5"/>
  <c r="G7" i="5"/>
  <c r="G6" i="5"/>
  <c r="G5" i="5"/>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I15" i="2"/>
  <c r="I14" i="2"/>
  <c r="I13" i="2"/>
  <c r="I12" i="2"/>
  <c r="I11" i="2"/>
  <c r="I10" i="2"/>
  <c r="I9" i="2"/>
  <c r="I8" i="2"/>
  <c r="I7" i="2"/>
  <c r="I6" i="2"/>
  <c r="I5" i="2"/>
  <c r="C35" i="8" l="1"/>
  <c r="C34" i="8"/>
  <c r="C17" i="8"/>
  <c r="C16" i="8"/>
  <c r="C15" i="8"/>
  <c r="C14" i="8"/>
  <c r="C13" i="8"/>
  <c r="B9" i="8"/>
  <c r="B8" i="8"/>
  <c r="C7" i="8"/>
  <c r="C41" i="8"/>
  <c r="C43" i="8"/>
  <c r="C42" i="8"/>
  <c r="C40" i="8"/>
</calcChain>
</file>

<file path=xl/sharedStrings.xml><?xml version="1.0" encoding="utf-8"?>
<sst xmlns="http://schemas.openxmlformats.org/spreadsheetml/2006/main" count="1195" uniqueCount="608">
  <si>
    <t>APK6 - Washing Machine STM32 / Python GUI</t>
  </si>
  <si>
    <t>Software Requirements Specification (ASPICE SYS.2 / SWE.1 / SWE.6 traceability)</t>
  </si>
  <si>
    <t>Document ID</t>
  </si>
  <si>
    <t>APK6-SRS-001</t>
  </si>
  <si>
    <t>Version</t>
  </si>
  <si>
    <t>1.1</t>
  </si>
  <si>
    <t>Date</t>
  </si>
  <si>
    <t>2026-10-11</t>
  </si>
  <si>
    <t>Author</t>
  </si>
  <si>
    <t>M. Hanzouti</t>
  </si>
  <si>
    <t>Project</t>
  </si>
  <si>
    <t>f4_disco_rtos - RTOS training</t>
  </si>
  <si>
    <t>Target</t>
  </si>
  <si>
    <t>STM32F407G-DISC1, FreeRTOS</t>
  </si>
  <si>
    <t>Host</t>
  </si>
  <si>
    <t>Python 3.12, PyQt5, pyserial</t>
  </si>
  <si>
    <t>Based on</t>
  </si>
  <si>
    <t>APK5-SRS-001 (link layer)</t>
  </si>
  <si>
    <t>Document status</t>
  </si>
  <si>
    <t>Draft</t>
  </si>
  <si>
    <t>Revision history</t>
  </si>
  <si>
    <t>Change</t>
  </si>
  <si>
    <t>1.0</t>
  </si>
  <si>
    <t>2026-10-10</t>
  </si>
  <si>
    <t>Initial version</t>
  </si>
  <si>
    <t>SystemTask IDLE/READY/RUN and SensorTask NO_ERROR/ERROR state machines; GET_STATUS format</t>
  </si>
  <si>
    <t>Sheets</t>
  </si>
  <si>
    <t>System Requirements</t>
  </si>
  <si>
    <t>SYS.2 - system requirements derived from the training goals.</t>
  </si>
  <si>
    <t>SW Requirements</t>
  </si>
  <si>
    <t>SWE.1 - software requirements, attributes, parent link, allocation, verification.</t>
  </si>
  <si>
    <t>Interface Spec</t>
  </si>
  <si>
    <t>Frame format, requests, events and status codes.</t>
  </si>
  <si>
    <t>SW Components</t>
  </si>
  <si>
    <t>SWE.2 - software architecture elements requirements are allocated to.</t>
  </si>
  <si>
    <t>Test Specification</t>
  </si>
  <si>
    <t>SWE.6 - test cases with expected results; Result column to fill in.</t>
  </si>
  <si>
    <t>Traceability</t>
  </si>
  <si>
    <t>SW requirement x test case matrix with coverage check.</t>
  </si>
  <si>
    <t>Dashboard</t>
  </si>
  <si>
    <t>Live counts: status, type, verification coverage, test results.</t>
  </si>
  <si>
    <t>Legend</t>
  </si>
  <si>
    <t>Yellow cells</t>
  </si>
  <si>
    <t>Editable attributes with a drop-down list (Status, Priority, Method, Result).</t>
  </si>
  <si>
    <t>'shall'</t>
  </si>
  <si>
    <t>Mandatory requirement wording; one 'shall' per requirement.</t>
  </si>
  <si>
    <t>Status</t>
  </si>
  <si>
    <t>Draft &gt; In review &gt; Accepted (or Rejected / Deferred).</t>
  </si>
  <si>
    <t>Verification method</t>
  </si>
  <si>
    <t>Test, Analysis, Review, Inspection, Demonstration.</t>
  </si>
  <si>
    <t>System Requirements (SYS.2)</t>
  </si>
  <si>
    <t>APK6-SRS-001  |  Version 1.1  |  Stakeholder: RTOS training</t>
  </si>
  <si>
    <t>ID</t>
  </si>
  <si>
    <t>Title</t>
  </si>
  <si>
    <t>Requirement</t>
  </si>
  <si>
    <t>Type</t>
  </si>
  <si>
    <t>Rationale</t>
  </si>
  <si>
    <t>Priority</t>
  </si>
  <si>
    <t># SW req linked</t>
  </si>
  <si>
    <t>SYS-REQ-001</t>
  </si>
  <si>
    <t>Machine configuration</t>
  </si>
  <si>
    <t>The system shall allow the user to configure the wash program (Cotton, Synthetic, Wool, Quick), the temperature (20, 30, 40, 60, 90 C) and the spin speed (400 to 1400 rpm) from the PC GUI.</t>
  </si>
  <si>
    <t>Functional</t>
  </si>
  <si>
    <t>User sets up the wash before starting.</t>
  </si>
  <si>
    <t>High</t>
  </si>
  <si>
    <t>Accepted</t>
  </si>
  <si>
    <t>Test</t>
  </si>
  <si>
    <t>SYS-REQ-002</t>
  </si>
  <si>
    <t>Start cycle</t>
  </si>
  <si>
    <t>The system shall allow the user to start a wash cycle from the PC GUI.</t>
  </si>
  <si>
    <t>Main use case.</t>
  </si>
  <si>
    <t>SYS-REQ-003</t>
  </si>
  <si>
    <t>Cycle execution</t>
  </si>
  <si>
    <t>The STM32 shall run a wash cycle of 6 steps in the order Fill, Heat, Wash, Rinse, Drain, Spin, each step lasting 10 s.</t>
  </si>
  <si>
    <t>Simulated washing machine sequence.</t>
  </si>
  <si>
    <t>SYS-REQ-004</t>
  </si>
  <si>
    <t>Real-time status</t>
  </si>
  <si>
    <t>The GUI shall display the current state, the current step and the progress of the cycle, updated at least every 200 ms.</t>
  </si>
  <si>
    <t>Performance</t>
  </si>
  <si>
    <t>User follows the cycle live.</t>
  </si>
  <si>
    <t>SYS-REQ-005</t>
  </si>
  <si>
    <t>Door open safety</t>
  </si>
  <si>
    <t>Opening the door (user button B1) during a cycle shall suspend the cycle immediately and the GUI shall display a 'door open' error.</t>
  </si>
  <si>
    <t>Safety function of a washing machine.</t>
  </si>
  <si>
    <t>SYS-REQ-006</t>
  </si>
  <si>
    <t>Resume after door close</t>
  </si>
  <si>
    <t>Closing the door (next press of B1) shall resume the cycle from the step and progress where it was suspended.</t>
  </si>
  <si>
    <t>No restart of the whole cycle.</t>
  </si>
  <si>
    <t>SYS-REQ-007</t>
  </si>
  <si>
    <t>Operating rules</t>
  </si>
  <si>
    <t>The STM32 shall refuse: a start without a complete configuration, a configuration or a start while a cycle is running or suspended, and a start with the door open.</t>
  </si>
  <si>
    <t>Consistent machine behaviour, enforced by the target not by the GUI.</t>
  </si>
  <si>
    <t>SYS-REQ-008</t>
  </si>
  <si>
    <t>Communication interface</t>
  </si>
  <si>
    <t>PC and STM32 shall communicate with 3-byte frames SOF 0xAA - CMD - DATA over UART 115200 8N1: requests answered with CMD|0x80, and spontaneous events from the STM32.</t>
  </si>
  <si>
    <t>Interface</t>
  </si>
  <si>
    <t>Reuse of the APK5 link layer.</t>
  </si>
  <si>
    <t>SYS-REQ-009</t>
  </si>
  <si>
    <t>Board indication</t>
  </si>
  <si>
    <t>The board LEDs shall show: running (green blinking), configuration valid (orange), door open (red), cycle finished (blue).</t>
  </si>
  <si>
    <t>Feedback without the PC.</t>
  </si>
  <si>
    <t>SYS-REQ-010</t>
  </si>
  <si>
    <t>Link robustness</t>
  </si>
  <si>
    <t>The link shall recover without reset from noise, lost bytes and partial frames.</t>
  </si>
  <si>
    <t>Non-functional</t>
  </si>
  <si>
    <t>Inherited from APK5.</t>
  </si>
  <si>
    <t>SYS-REQ-011</t>
  </si>
  <si>
    <t>Training without hardware</t>
  </si>
  <si>
    <t>The PC application shall offer a simulated board with the same behaviour as the firmware.</t>
  </si>
  <si>
    <t>Trainees can work without a Discovery board.</t>
  </si>
  <si>
    <t>Software Requirements (SWE.1)</t>
  </si>
  <si>
    <t>APK6-SRS-001  |  Version 1.1  |  Parent: System Requirements  |  Allocation: SW Components</t>
  </si>
  <si>
    <t>SW component (SWE.2)</t>
  </si>
  <si>
    <t>Parent SYS req</t>
  </si>
  <si>
    <t>Acceptance criteria</t>
  </si>
  <si>
    <t>Test case(s) (SWE.6)</t>
  </si>
  <si>
    <t>Release</t>
  </si>
  <si>
    <t>Parent valid</t>
  </si>
  <si>
    <t>Comment</t>
  </si>
  <si>
    <t>SW-REQ-001</t>
  </si>
  <si>
    <t>Frame reception</t>
  </si>
  <si>
    <t>The firmware shall receive frames with the APK5 interrupt state machine (WAIT_SOF, WAIT_CMD, WAIT_DATA, 50 ms inter-byte timeout, error re-arm) and post them to QueueFrame.</t>
  </si>
  <si>
    <t>SWC-ISR, SWC-QUEUE</t>
  </si>
  <si>
    <t>SYS-REQ-008, SYS-REQ-010</t>
  </si>
  <si>
    <t>Reuse of the validated APK5 link layer.</t>
  </si>
  <si>
    <t>PING answered; partial frame dropped.</t>
  </si>
  <si>
    <t>TC-01</t>
  </si>
  <si>
    <t>R1.0</t>
  </si>
  <si>
    <t>SW-REQ-002</t>
  </si>
  <si>
    <t>Local link commands</t>
  </si>
  <si>
    <t>The LinkLayer task shall answer PING (0x01) and GET_STATUS (0x21) itself, in every system state.</t>
  </si>
  <si>
    <t>SWC-LL</t>
  </si>
  <si>
    <t>Diagnostics must work even while the SystemTask is suspended.</t>
  </si>
  <si>
    <t>PING and GET_STATUS answered in IDLE, READY, RUN and with the door open.</t>
  </si>
  <si>
    <t>TC-01, TC-10</t>
  </si>
  <si>
    <t>SW-REQ-003</t>
  </si>
  <si>
    <t>GET_STATUS value</t>
  </si>
  <si>
    <t>The GET_STATUS response DATA shall be the SystemTask state in bits 0..3 (0 IDLE_STATE, 1 READY_STATE, 2 RUN_STATE) and bit 7 set when the SensorTask is in ERROR_STATE.</t>
  </si>
  <si>
    <t>GUI synchronises on connection.</t>
  </si>
  <si>
    <t>Medium</t>
  </si>
  <si>
    <t>IDLE: A1 00; READY: A1 01; RUN: A1 02; RUN + door open: A1 82.</t>
  </si>
  <si>
    <t>TC-10</t>
  </si>
  <si>
    <t>SW-REQ-004</t>
  </si>
  <si>
    <t>Admission control</t>
  </si>
  <si>
    <t>While the SystemTask is in RUN_STATE (running or suspended by the door), the LinkLayer task shall answer CFG_PROGRAM, CFG_TEMP, CFG_SPIN and START_CYCLE with 0xE3 (BUSY) without forwarding them.</t>
  </si>
  <si>
    <t>Immediate answer even when SystemTask is suspended.</t>
  </si>
  <si>
    <t>Config and start in RUN_STATE, running or suspended -&gt; E3.</t>
  </si>
  <si>
    <t>TC-07</t>
  </si>
  <si>
    <t>SW-REQ-005</t>
  </si>
  <si>
    <t>Command forwarding</t>
  </si>
  <si>
    <t>In IDLE_STATE and READY_STATE, the LinkLayer task shall forward application commands to the SystemTask through QueueCmd (4 frames); if QueueCmd is full it shall answer 0xE3.</t>
  </si>
  <si>
    <t>SWC-LL, SWC-CMDQ</t>
  </si>
  <si>
    <t>SystemTask owns the application state.</t>
  </si>
  <si>
    <t>Configuration frames answered by SystemTask.</t>
  </si>
  <si>
    <t>TC-02</t>
  </si>
  <si>
    <t>SW-REQ-006</t>
  </si>
  <si>
    <t>Unknown command</t>
  </si>
  <si>
    <t>Any command not defined in the interface specification shall be answered with 0xE1 (BAD_CMD).</t>
  </si>
  <si>
    <t>Protocol errors reported.</t>
  </si>
  <si>
    <t>AA 42 00 -&gt; AA C2 E1</t>
  </si>
  <si>
    <t>TC-11</t>
  </si>
  <si>
    <t>SW-REQ-007</t>
  </si>
  <si>
    <t>CFG_PROGRAM</t>
  </si>
  <si>
    <t>CFG_PROGRAM (0x10) with DATA 0..3 shall store the program and answer 0x00; other values shall answer 0xE2 and keep the previous value.</t>
  </si>
  <si>
    <t>SWC-SYS</t>
  </si>
  <si>
    <t>Program selection.</t>
  </si>
  <si>
    <t>AA 10 01 -&gt; AA 90 00; AA 10 04 -&gt; AA 90 E2</t>
  </si>
  <si>
    <t>TC-02, TC-03</t>
  </si>
  <si>
    <t>SW-REQ-008</t>
  </si>
  <si>
    <t>CFG_TEMP</t>
  </si>
  <si>
    <t>CFG_TEMP (0x11) with DATA in {20, 30, 40, 60, 90} shall store the temperature and answer 0x00; other values shall answer 0xE2.</t>
  </si>
  <si>
    <t>Only real machine temperatures.</t>
  </si>
  <si>
    <t>AA 11 28 -&gt; AA 91 00; AA 11 2D -&gt; AA 91 E2</t>
  </si>
  <si>
    <t>SW-REQ-009</t>
  </si>
  <si>
    <t>CFG_SPIN</t>
  </si>
  <si>
    <t>CFG_SPIN (0x12) with DATA 4..14 (x 100 rpm) shall store the spin speed and answer 0x00; other values shall answer 0xE2.</t>
  </si>
  <si>
    <t>Spin range 400..1400 rpm.</t>
  </si>
  <si>
    <t>AA 12 0A -&gt; AA 92 00; AA 12 03 -&gt; AA 92 E2</t>
  </si>
  <si>
    <t>SW-REQ-010</t>
  </si>
  <si>
    <t>IDLE_STATE to READY_STATE</t>
  </si>
  <si>
    <t>In IDLE_STATE the SystemTask shall wait for configuration frames; when program, temperature and spin have each been accepted, it shall switch on the orange LED and go to READY_STATE.</t>
  </si>
  <si>
    <t>SYS-REQ-001, SYS-REQ-007</t>
  </si>
  <si>
    <t>Start allowed only with a full configuration.</t>
  </si>
  <si>
    <t>GET_STATUS 00 before, 01 after the third accepted parameter.</t>
  </si>
  <si>
    <t>SW-REQ-011</t>
  </si>
  <si>
    <t>Start without configuration</t>
  </si>
  <si>
    <t>START_CYCLE (0x20) received in IDLE_STATE shall be answered 0xE4 (NOT_CONFIGURED); the state stays IDLE_STATE.</t>
  </si>
  <si>
    <t>Rule: no start without configuration.</t>
  </si>
  <si>
    <t>After reset: AA 20 00 -&gt; AA A0 E4</t>
  </si>
  <si>
    <t>TC-04</t>
  </si>
  <si>
    <t>SW-REQ-012</t>
  </si>
  <si>
    <t>Start with door open</t>
  </si>
  <si>
    <t>START_CYCLE in READY_STATE while the SensorTask is in ERROR_STATE shall be answered 0xE5 (DOOR_OPEN); the state stays READY_STATE.</t>
  </si>
  <si>
    <t>Safety rule.</t>
  </si>
  <si>
    <t>Door open: AA 20 00 -&gt; AA A0 E5</t>
  </si>
  <si>
    <t>TC-08</t>
  </si>
  <si>
    <t>SW-REQ-013</t>
  </si>
  <si>
    <t>Start accepted</t>
  </si>
  <si>
    <t>START_CYCLE in READY_STATE with the SensorTask in NO_ERROR_STATE shall be answered 0x00 and the SystemTask shall go to RUN_STATE. In READY_STATE a new configuration frame replaces the stored value.</t>
  </si>
  <si>
    <t>AA A0 00 then EVT_STEP 1.</t>
  </si>
  <si>
    <t>TC-05</t>
  </si>
  <si>
    <t>SW-REQ-014</t>
  </si>
  <si>
    <t>Cycle steps</t>
  </si>
  <si>
    <t>In RUN_STATE, the SystemTask shall execute steps 1 to 6 (Fill, Heat, Wash, Rinse, Drain, Spin) in order and send EVT_STEP (0x30, DATA = step) when entering each step.</t>
  </si>
  <si>
    <t>Sequence of the wash program.</t>
  </si>
  <si>
    <t>EVT_STEP 1..6 received in order.</t>
  </si>
  <si>
    <t>SW-REQ-015</t>
  </si>
  <si>
    <t>Step duration</t>
  </si>
  <si>
    <t>Each step shall last STEP_TIME_MS = 10 s, counted as 100 ticks of 100 ms of SystemTask execution, so that suspended time is not counted.</t>
  </si>
  <si>
    <t>SYS-REQ-003, SYS-REQ-006</t>
  </si>
  <si>
    <t>Pause must freeze the cycle.</t>
  </si>
  <si>
    <t>Step duration 10 s +/- 0.3 s without door event.</t>
  </si>
  <si>
    <t>TC-06</t>
  </si>
  <si>
    <t>SW-REQ-016</t>
  </si>
  <si>
    <t>Progress event</t>
  </si>
  <si>
    <t>In RUN_STATE, the SystemTask shall send EVT_PROGRESS (0x31, DATA = progress of the current step 0..100 %) every 200 ms.</t>
  </si>
  <si>
    <t>Real-time display.</t>
  </si>
  <si>
    <t>Period between two EVT_PROGRESS 200 ms +/- 20 ms.</t>
  </si>
  <si>
    <t>SW-REQ-017</t>
  </si>
  <si>
    <t>End of cycle</t>
  </si>
  <si>
    <t>After step 6, the SystemTask shall switch on the blue LED, go to READY_STATE (configuration kept) and send EVT_DONE (0x32).</t>
  </si>
  <si>
    <t>SYS-REQ-003, SYS-REQ-009</t>
  </si>
  <si>
    <t>User knows the wash is finished.</t>
  </si>
  <si>
    <t>EVT_DONE received, GET_STATUS -&gt; 01 (READY).</t>
  </si>
  <si>
    <t>SW-REQ-018</t>
  </si>
  <si>
    <t>Late commands</t>
  </si>
  <si>
    <t>Commands found in QueueCmd while in RUN shall be answered 0xE3 by the SystemTask.</t>
  </si>
  <si>
    <t>Race between admission check and RUN entry.</t>
  </si>
  <si>
    <t>Review</t>
  </si>
  <si>
    <t>Code review: QueueCmd drained in RunCycle.</t>
  </si>
  <si>
    <t>TC-14</t>
  </si>
  <si>
    <t>SW-REQ-019</t>
  </si>
  <si>
    <t>Door sensor acquisition</t>
  </si>
  <si>
    <t>A rising edge on B1 (PA0, EXTI0) shall give SemDoor from the ISR; the SensorTask shall wait 30 ms, confirm the pin is high, and ignore edges until the button is released.</t>
  </si>
  <si>
    <t>SWC-SEN</t>
  </si>
  <si>
    <t>Debounce: one press = one event.</t>
  </si>
  <si>
    <t>10 presses -&gt; 10 EVT_DOOR, alternating 1 and 0.</t>
  </si>
  <si>
    <t>TC-08, TC-12</t>
  </si>
  <si>
    <t>SW-REQ-020</t>
  </si>
  <si>
    <t>SensorTask state machine</t>
  </si>
  <si>
    <t>The SensorTask shall have two states: NO_ERROR_STATE (door closed) and ERROR_STATE (door open). Each validated press switches state, drives the red LED and sends EVT_DOOR (0x33, DATA 1 open, 0 closed).</t>
  </si>
  <si>
    <t>SYS-REQ-005, SYS-REQ-006, SYS-REQ-009</t>
  </si>
  <si>
    <t>Button simulates the door switch.</t>
  </si>
  <si>
    <t>EVT_DOOR 1 then 0 on two presses.</t>
  </si>
  <si>
    <t>SW-REQ-021</t>
  </si>
  <si>
    <t>Suspend on door open</t>
  </si>
  <si>
    <t>In NO_ERROR_STATE, on a press: if the SystemTask is in RUN_STATE the SensorTask shall take xUartMutex, call vTaskSuspend(SystemTask) and give the mutex; it shall send EVT_DOOR 1, then EVT_ERROR (0x34, DATA 0x01) if it suspended the cycle, and go to ERROR_STATE.</t>
  </si>
  <si>
    <t>Cycle stopped immediately.</t>
  </si>
  <si>
    <t>EVT_DOOR 1 + EVT_ERROR 01; GET_STATUS -&gt; 82.</t>
  </si>
  <si>
    <t>SW-REQ-022</t>
  </si>
  <si>
    <t>Frozen while paused</t>
  </si>
  <si>
    <t>While the SystemTask is suspended, no EVT_STEP and no EVT_PROGRESS shall be sent.</t>
  </si>
  <si>
    <t>SWC-SYS, SWC-SEN</t>
  </si>
  <si>
    <t>Cycle really suspended.</t>
  </si>
  <si>
    <t>No event during 5 s with the door open.</t>
  </si>
  <si>
    <t>SW-REQ-023</t>
  </si>
  <si>
    <t>Resume on door close</t>
  </si>
  <si>
    <t>In ERROR_STATE, on a press: the SensorTask shall go to NO_ERROR_STATE, send EVT_DOOR 0 and, if it had suspended the SystemTask, call vTaskResume; the cycle shall continue at the same step and progress.</t>
  </si>
  <si>
    <t>No restart of the cycle.</t>
  </si>
  <si>
    <t>Next EVT_PROGRESS continues from the last value.</t>
  </si>
  <si>
    <t>TC-09</t>
  </si>
  <si>
    <t>SW-REQ-024</t>
  </si>
  <si>
    <t>Door outside a cycle</t>
  </si>
  <si>
    <t>Opening or closing the door in IDLE_STATE or READY_STATE shall only send EVT_DOOR, without EVT_ERROR and without suspension.</t>
  </si>
  <si>
    <t>Error only when a cycle is affected.</t>
  </si>
  <si>
    <t>READY: press B1 -&gt; EVT_DOOR 1 only.</t>
  </si>
  <si>
    <t>SW-REQ-025</t>
  </si>
  <si>
    <t>Safe suspension</t>
  </si>
  <si>
    <t>The SystemTask shall never be suspended while it owns xUartMutex; each shared state shall have a single writer (SysState: SystemTask, SensorState: SensorTask).</t>
  </si>
  <si>
    <t>SWC-SEN, SWC-TX</t>
  </si>
  <si>
    <t>SYS-REQ-005, SYS-REQ-008</t>
  </si>
  <si>
    <t>A suspended mutex owner would block every UART sender.</t>
  </si>
  <si>
    <t>Mutex taken before vTaskSuspend; no deadlock in stress test.</t>
  </si>
  <si>
    <t>TC-12, TC-14</t>
  </si>
  <si>
    <t>SW-REQ-026</t>
  </si>
  <si>
    <t>UART mutual exclusion</t>
  </si>
  <si>
    <t>All frames and printf output shall be sent under xUartMutex so their bytes never interleave.</t>
  </si>
  <si>
    <t>SWC-TX, SWC-CFG</t>
  </si>
  <si>
    <t>Four senders share USART2.</t>
  </si>
  <si>
    <t>No corrupted frame in the stress test.</t>
  </si>
  <si>
    <t>TC-12</t>
  </si>
  <si>
    <t>SW-REQ-027</t>
  </si>
  <si>
    <t>Task priorities</t>
  </si>
  <si>
    <t>Priorities shall be SensorTask 4 &gt; LinkLayer 3 &gt; SystemTask 2, each with a 256-word stack.</t>
  </si>
  <si>
    <t>Constraint</t>
  </si>
  <si>
    <t>SWC-SEN, SWC-LL, SWC-SYS</t>
  </si>
  <si>
    <t>Door reaction must preempt the cycle.</t>
  </si>
  <si>
    <t>Inspection</t>
  </si>
  <si>
    <t>xTaskCreate parameters in apk6.c.</t>
  </si>
  <si>
    <t>SW-REQ-028</t>
  </si>
  <si>
    <t>LED indication</t>
  </si>
  <si>
    <t>LEDs: PD12 green blinks every 200 ms in RUN, PD13 orange when configuration complete, PD14 red when door open, PD15 blue after EVT_DONE until next start.</t>
  </si>
  <si>
    <t>Board-side feedback.</t>
  </si>
  <si>
    <t>Low</t>
  </si>
  <si>
    <t>Demonstration</t>
  </si>
  <si>
    <t>LEDs observed during TC-05 and TC-08.</t>
  </si>
  <si>
    <t>TC-05, TC-08</t>
  </si>
  <si>
    <t>SW-REQ-029</t>
  </si>
  <si>
    <t>Build selection</t>
  </si>
  <si>
    <t>APK6 code shall be compiled only when APK6 is defined in main.h.</t>
  </si>
  <si>
    <t>SWC-CFG</t>
  </si>
  <si>
    <t>Several labs share one project.</t>
  </si>
  <si>
    <t>#ifdef APK6 guards apk6.c.</t>
  </si>
  <si>
    <t>SW-REQ-030</t>
  </si>
  <si>
    <t>Configuration panel</t>
  </si>
  <si>
    <t>The GUI shall provide program, temperature and spin selectors and a 'Send configuration' button that sends CFG_PROGRAM, CFG_TEMP and CFG_SPIN.</t>
  </si>
  <si>
    <t>SWC-GUI</t>
  </si>
  <si>
    <t>One click configuration.</t>
  </si>
  <si>
    <t>Three frames sent, three OK, label 'Configured'.</t>
  </si>
  <si>
    <t>SW-REQ-031</t>
  </si>
  <si>
    <t>Start button</t>
  </si>
  <si>
    <t>The GUI shall provide a START CYCLE button that sends START_CYCLE.</t>
  </si>
  <si>
    <t>Frame AA 20 00 sent.</t>
  </si>
  <si>
    <t>SW-REQ-032</t>
  </si>
  <si>
    <t>Live cycle display</t>
  </si>
  <si>
    <t>The GUI shall show the state (IDLE, READY, RUNNING, PAUSED, DONE), the 6 steps with the current one highlighted, a step progress bar, a whole-cycle progress bar and an animated machine.</t>
  </si>
  <si>
    <t>Real-time view of the machine.</t>
  </si>
  <si>
    <t>Display follows the events without lag.</t>
  </si>
  <si>
    <t>SW-REQ-033</t>
  </si>
  <si>
    <t>Door error display</t>
  </si>
  <si>
    <t>On EVT_ERROR 0x01 the GUI shall show a red 'DOOR OPEN - cycle suspended' banner and the state PAUSED; on EVT_DOOR 0 it shall remove the banner and show RUNNING.</t>
  </si>
  <si>
    <t>SYS-REQ-005, SYS-REQ-006</t>
  </si>
  <si>
    <t>User sees why the cycle stopped.</t>
  </si>
  <si>
    <t>Banner shown and cleared.</t>
  </si>
  <si>
    <t>TC-08, TC-09</t>
  </si>
  <si>
    <t>SW-REQ-034</t>
  </si>
  <si>
    <t>Refusal display</t>
  </si>
  <si>
    <t>The GUI shall display every refused request with its reason: E3 cycle running, E4 configuration missing, E5 door open.</t>
  </si>
  <si>
    <t>Teaches the target-side rules.</t>
  </si>
  <si>
    <t>Red message with reason in status panel and log.</t>
  </si>
  <si>
    <t>TC-04, TC-07</t>
  </si>
  <si>
    <t>SW-REQ-035</t>
  </si>
  <si>
    <t>GUI guard option</t>
  </si>
  <si>
    <t>A 'GUI blocks invalid actions' option shall disable Send configuration and START when the GUI state does not allow them; unticked, every click is sent.</t>
  </si>
  <si>
    <t>Compare GUI-side and target-side checks.</t>
  </si>
  <si>
    <t>Buttons greyed according to state.</t>
  </si>
  <si>
    <t>TC-13</t>
  </si>
  <si>
    <t>SW-REQ-036</t>
  </si>
  <si>
    <t>Host frame parser</t>
  </si>
  <si>
    <t>The host shall use the same receive state machine and separate responses (CMD bit 7 set) from events (CMD 0x30..0x34).</t>
  </si>
  <si>
    <t>SWC-RDR</t>
  </si>
  <si>
    <t>Events arrive at any time.</t>
  </si>
  <si>
    <t>All frames of TC-05 classified correctly.</t>
  </si>
  <si>
    <t>TC-01, TC-05</t>
  </si>
  <si>
    <t>SW-REQ-037</t>
  </si>
  <si>
    <t>Status on connect</t>
  </si>
  <si>
    <t>On connection the GUI shall send GET_STATUS and display the returned state.</t>
  </si>
  <si>
    <t>GUI started while a cycle runs.</t>
  </si>
  <si>
    <t>Connect during RUN -&gt; RUNNING shown.</t>
  </si>
  <si>
    <t>SW-REQ-038</t>
  </si>
  <si>
    <t>Board simulator</t>
  </si>
  <si>
    <t>The host shall provide a simulator implementing the firmware behaviour, with a 'Press B1' control replacing the user button.</t>
  </si>
  <si>
    <t>SWC-SIM</t>
  </si>
  <si>
    <t>Training without hardware.</t>
  </si>
  <si>
    <t>TC-02..TC-10 pass on the simulator.</t>
  </si>
  <si>
    <t>SW-REQ-039</t>
  </si>
  <si>
    <t>SystemTask state machine</t>
  </si>
  <si>
    <t>The SystemTask shall implement the states IDLE_STATE (wait for configuration), READY_STATE (wait for START) and RUN_STATE (execute the cycle), with the transitions IDLE-&gt;READY on complete configuration, READY-&gt;RUN on accepted START and RUN-&gt;READY at the end of the cycle.</t>
  </si>
  <si>
    <t>SYS-REQ-001, SYS-REQ-002, SYS-REQ-003, SYS-REQ-007</t>
  </si>
  <si>
    <t>Explicit, testable application behaviour.</t>
  </si>
  <si>
    <t>GET_STATUS 00 -&gt; 01 -&gt; 02 -&gt; 01 along TC-02 and TC-05.</t>
  </si>
  <si>
    <t>TC-02, TC-05, TC-10</t>
  </si>
  <si>
    <t>Interface Specification - UART frames</t>
  </si>
  <si>
    <t>APK6-SRS-001  |  Version 1.1  |  USART2, 115200 baud, 8N1 - requests, responses and events</t>
  </si>
  <si>
    <t>Frame</t>
  </si>
  <si>
    <t>Byte</t>
  </si>
  <si>
    <t>Field</t>
  </si>
  <si>
    <t>Request (Host -&gt; STM32)</t>
  </si>
  <si>
    <t>STM32 -&gt; Host</t>
  </si>
  <si>
    <t>SOF</t>
  </si>
  <si>
    <t>0xAA</t>
  </si>
  <si>
    <t>CMD</t>
  </si>
  <si>
    <t>Request code</t>
  </si>
  <si>
    <t>Request CMD OR 0x80, or event code 0x30..0x34</t>
  </si>
  <si>
    <t>DATA</t>
  </si>
  <si>
    <t>Parameter</t>
  </si>
  <si>
    <t>Status, value or event data</t>
  </si>
  <si>
    <t>Requests (answered with CMD | 0x80)</t>
  </si>
  <si>
    <t>Name</t>
  </si>
  <si>
    <t>Request DATA</t>
  </si>
  <si>
    <t>Response DATA</t>
  </si>
  <si>
    <t>Accepted in</t>
  </si>
  <si>
    <t>0x01</t>
  </si>
  <si>
    <t>PING</t>
  </si>
  <si>
    <t>Any</t>
  </si>
  <si>
    <t>Same value</t>
  </si>
  <si>
    <t>0x10</t>
  </si>
  <si>
    <t>0 Cotton, 1 Synthetic, 2 Wool, 3 Quick</t>
  </si>
  <si>
    <t>00 / E2 / E3</t>
  </si>
  <si>
    <t>IDLE, READY</t>
  </si>
  <si>
    <t>0x11</t>
  </si>
  <si>
    <t>20, 30, 40, 60, 90</t>
  </si>
  <si>
    <t>0x12</t>
  </si>
  <si>
    <t>4..14 (x 100 rpm)</t>
  </si>
  <si>
    <t>0x20</t>
  </si>
  <si>
    <t>START_CYCLE</t>
  </si>
  <si>
    <t>Ignored</t>
  </si>
  <si>
    <t>00 / E4 (in IDLE) / E5 / E3</t>
  </si>
  <si>
    <t>READY</t>
  </si>
  <si>
    <t>SW-REQ-011..013</t>
  </si>
  <si>
    <t>0x21</t>
  </si>
  <si>
    <t>GET_STATUS</t>
  </si>
  <si>
    <t>bits 0..3: 0 IDLE, 1 READY, 2 RUN; bit 7: door ERROR_STATE</t>
  </si>
  <si>
    <t>other</t>
  </si>
  <si>
    <t>-</t>
  </si>
  <si>
    <t>E1</t>
  </si>
  <si>
    <t>Events (sent by the STM32 without request)</t>
  </si>
  <si>
    <t>When</t>
  </si>
  <si>
    <t>0x30</t>
  </si>
  <si>
    <t>EVT_STEP</t>
  </si>
  <si>
    <t>Step 1..6 entered</t>
  </si>
  <si>
    <t>Step entry</t>
  </si>
  <si>
    <t>0x31</t>
  </si>
  <si>
    <t>EVT_PROGRESS</t>
  </si>
  <si>
    <t>Step progress 0..100 %</t>
  </si>
  <si>
    <t>Every 200 ms in RUN</t>
  </si>
  <si>
    <t>0x32</t>
  </si>
  <si>
    <t>EVT_DONE</t>
  </si>
  <si>
    <t>0</t>
  </si>
  <si>
    <t>End of step 6</t>
  </si>
  <si>
    <t>0x33</t>
  </si>
  <si>
    <t>EVT_DOOR</t>
  </si>
  <si>
    <t>1 open, 0 closed</t>
  </si>
  <si>
    <t>Each door press</t>
  </si>
  <si>
    <t>0x34</t>
  </si>
  <si>
    <t>EVT_ERROR</t>
  </si>
  <si>
    <t>0x01 door open during cycle</t>
  </si>
  <si>
    <t>Door opened in RUN</t>
  </si>
  <si>
    <t>Status codes</t>
  </si>
  <si>
    <t>Code</t>
  </si>
  <si>
    <t>Meaning</t>
  </si>
  <si>
    <t>0x00</t>
  </si>
  <si>
    <t>OK</t>
  </si>
  <si>
    <t>Command executed</t>
  </si>
  <si>
    <t>0xE1</t>
  </si>
  <si>
    <t>BAD_CMD</t>
  </si>
  <si>
    <t>0xE2</t>
  </si>
  <si>
    <t>BAD_DATA</t>
  </si>
  <si>
    <t>Parameter out of range</t>
  </si>
  <si>
    <t>0xE3</t>
  </si>
  <si>
    <t>BUSY</t>
  </si>
  <si>
    <t>SystemTask in RUN_STATE (running or suspended)</t>
  </si>
  <si>
    <t>0xE4</t>
  </si>
  <si>
    <t>NOT_CONFIGURED</t>
  </si>
  <si>
    <t>START in IDLE_STATE</t>
  </si>
  <si>
    <t>0xE5</t>
  </si>
  <si>
    <t>DOOR_OPEN</t>
  </si>
  <si>
    <t>START while the SensorTask is in ERROR_STATE</t>
  </si>
  <si>
    <t>Software Components (SWE.2)</t>
  </si>
  <si>
    <t>APK6-SRS-001  |  Version 1.1  |  Elements of the software architecture</t>
  </si>
  <si>
    <t>Component ID</t>
  </si>
  <si>
    <t>Implementation</t>
  </si>
  <si>
    <t>File</t>
  </si>
  <si>
    <t>Execution context</t>
  </si>
  <si>
    <t>Responsibility</t>
  </si>
  <si>
    <t># SW req allocated</t>
  </si>
  <si>
    <t>SWC-ISR</t>
  </si>
  <si>
    <t>UART RX callback</t>
  </si>
  <si>
    <t>HAL_UART_RxCpltCallback, HAL_UART_ErrorCallback</t>
  </si>
  <si>
    <t>Core/Src/apk6.c</t>
  </si>
  <si>
    <t>Interrupt</t>
  </si>
  <si>
    <t>Byte reception, frame state machine, timeout.</t>
  </si>
  <si>
    <t>SWC-QUEUE</t>
  </si>
  <si>
    <t>QueueFrame</t>
  </si>
  <si>
    <t>FreeRTOS queue, 8 x Frame_t</t>
  </si>
  <si>
    <t>Kernel object</t>
  </si>
  <si>
    <t>Frames from ISR to LinkLayer.</t>
  </si>
  <si>
    <t>LinkLayer task</t>
  </si>
  <si>
    <t>LinkLayer(), prio 3</t>
  </si>
  <si>
    <t>Task</t>
  </si>
  <si>
    <t>PING, GET_STATUS, admission control, forwarding.</t>
  </si>
  <si>
    <t>SWC-CMDQ</t>
  </si>
  <si>
    <t>QueueCmd</t>
  </si>
  <si>
    <t>FreeRTOS queue, 4 x Frame_t</t>
  </si>
  <si>
    <t>Application commands to SystemTask.</t>
  </si>
  <si>
    <t>SystemTask</t>
  </si>
  <si>
    <t>SystemTask(), ApplyConfig(), RunCycle(), prio 2</t>
  </si>
  <si>
    <t>IDLE_STATE / READY_STATE / RUN_STATE machine, configuration, cycle timing, events.</t>
  </si>
  <si>
    <t>SensorTask + EXTI</t>
  </si>
  <si>
    <t>SensorTask(), HAL_GPIO_EXTI_Callback, SemDoor, prio 4</t>
  </si>
  <si>
    <t>Task + interrupt</t>
  </si>
  <si>
    <t>NO_ERROR_STATE / ERROR_STATE machine, debounce, suspend / resume of SystemTask, door events.</t>
  </si>
  <si>
    <t>SWC-TX</t>
  </si>
  <si>
    <t>Frame transmitter</t>
  </si>
  <si>
    <t>SendFrame()</t>
  </si>
  <si>
    <t>Task context</t>
  </si>
  <si>
    <t>3-byte frames under xUartMutex.</t>
  </si>
  <si>
    <t>Configuration</t>
  </si>
  <si>
    <t>main.h, stm32f4xx_hal_msp.c, log.c</t>
  </si>
  <si>
    <t>Core/</t>
  </si>
  <si>
    <t>Static</t>
  </si>
  <si>
    <t>Lab selection, UART init, printf mutex.</t>
  </si>
  <si>
    <t>Host GUI</t>
  </si>
  <si>
    <t>MainWindow, MachineView</t>
  </si>
  <si>
    <t>tools/apk6_gui.py</t>
  </si>
  <si>
    <t>PyQt5 main thread</t>
  </si>
  <si>
    <t>Configuration, start, live display, log.</t>
  </si>
  <si>
    <t>Host serial reader</t>
  </si>
  <si>
    <t>SerialReader (QThread)</t>
  </si>
  <si>
    <t>Worker thread</t>
  </si>
  <si>
    <t>Host framing state machine.</t>
  </si>
  <si>
    <t>SimBoard</t>
  </si>
  <si>
    <t>tools/apk6_proto.py</t>
  </si>
  <si>
    <t>Python threads</t>
  </si>
  <si>
    <t>Software twin of apk6.c.</t>
  </si>
  <si>
    <t>Software Qualification Test Specification (SWE.6)</t>
  </si>
  <si>
    <t>APK6-SRS-001  |  Version 1.1  |  Fill in Result, Date and Tester after each run</t>
  </si>
  <si>
    <t>Test ID</t>
  </si>
  <si>
    <t>Method</t>
  </si>
  <si>
    <t>Precondition</t>
  </si>
  <si>
    <t>Steps</t>
  </si>
  <si>
    <t>Expected result</t>
  </si>
  <si>
    <t>Verifies</t>
  </si>
  <si>
    <t>Result</t>
  </si>
  <si>
    <t>Tester</t>
  </si>
  <si>
    <t>Remark</t>
  </si>
  <si>
    <t>Link layer</t>
  </si>
  <si>
    <t>Board running APK6, GUI connected</t>
  </si>
  <si>
    <t>Send PING 0x55; send AA 01 then wait 200 ms then AA 01 20.</t>
  </si>
  <si>
    <t>AA 81 55; only AA 81 20 for the second pattern.</t>
  </si>
  <si>
    <t>SW-REQ-001, SW-REQ-002, SW-REQ-036</t>
  </si>
  <si>
    <t>Not run</t>
  </si>
  <si>
    <t>Valid configuration</t>
  </si>
  <si>
    <t>After reset, IDLE</t>
  </si>
  <si>
    <t>Select Wool, 40 C, 1000 rpm; press Send configuration.</t>
  </si>
  <si>
    <t>AA 90 00, AA 91 00, AA 92 00; READY_STATE; orange LED on; GUI shows READY.</t>
  </si>
  <si>
    <t>SW-REQ-005, SW-REQ-007, SW-REQ-008, SW-REQ-009, SW-REQ-010, SW-REQ-030, SW-REQ-039</t>
  </si>
  <si>
    <t>TC-03</t>
  </si>
  <si>
    <t>Invalid parameters</t>
  </si>
  <si>
    <t>IDLE</t>
  </si>
  <si>
    <t>Send AA 10 04, AA 11 2D, AA 12 03, AA 12 0F.</t>
  </si>
  <si>
    <t>Each answered with E2; state unchanged.</t>
  </si>
  <si>
    <t>SW-REQ-007, SW-REQ-008, SW-REQ-009</t>
  </si>
  <si>
    <t>Press START CYCLE.</t>
  </si>
  <si>
    <t>AA A0 E4; GUI shows 'send a configuration first'; state IDLE.</t>
  </si>
  <si>
    <t>SW-REQ-011, SW-REQ-034</t>
  </si>
  <si>
    <t>Complete cycle</t>
  </si>
  <si>
    <t>Configured, door closed</t>
  </si>
  <si>
    <t>Press START CYCLE and wait for the end.</t>
  </si>
  <si>
    <t>AA A0 00; EVT_STEP 1..6 in order; EVT_DONE after about 60 s; green LED blinks, blue LED at the end.</t>
  </si>
  <si>
    <t>SW-REQ-013, SW-REQ-014, SW-REQ-017, SW-REQ-028, SW-REQ-031, SW-REQ-036, SW-REQ-039</t>
  </si>
  <si>
    <t>Timing and live display</t>
  </si>
  <si>
    <t>Configured</t>
  </si>
  <si>
    <t>Start a cycle, record the event time stamps.</t>
  </si>
  <si>
    <t>Each step 10 s +/- 0.3 s; EVT_PROGRESS every 200 ms; GUI bars follow.</t>
  </si>
  <si>
    <t>SW-REQ-015, SW-REQ-016, SW-REQ-032</t>
  </si>
  <si>
    <t>Commands during cycle</t>
  </si>
  <si>
    <t>Cycle running</t>
  </si>
  <si>
    <t>Press Send configuration, then START CYCLE; repeat with the door open (cycle suspended).</t>
  </si>
  <si>
    <t>All answered E3; cycle not disturbed.</t>
  </si>
  <si>
    <t>SW-REQ-004, SW-REQ-034</t>
  </si>
  <si>
    <t>Door open</t>
  </si>
  <si>
    <t>Cycle running in step 3</t>
  </si>
  <si>
    <t>Press B1 once; wait 5 s. Then in READY press B1 and START.</t>
  </si>
  <si>
    <t>EVT_DOOR 1 + EVT_ERROR 01; red LED; banner; no event for 5 s; GET_STATUS = 82. In READY: only EVT_DOOR 1, START -&gt; E5.</t>
  </si>
  <si>
    <t>SW-REQ-012, SW-REQ-019, SW-REQ-020, SW-REQ-021, SW-REQ-022, SW-REQ-024, SW-REQ-028, SW-REQ-033</t>
  </si>
  <si>
    <t>Door close and resume</t>
  </si>
  <si>
    <t>Cycle suspended (ERROR_STATE)</t>
  </si>
  <si>
    <t>Press B1 again.</t>
  </si>
  <si>
    <t>EVT_DOOR 0; banner cleared; next EVT_PROGRESS continues the same step; total time = 60 s + pause.</t>
  </si>
  <si>
    <t>SW-REQ-023, SW-REQ-033</t>
  </si>
  <si>
    <t>Connected</t>
  </si>
  <si>
    <t>Send GET_STATUS after reset, after configuration, during RUN, with the door open during RUN; reconnect GUI during RUN.</t>
  </si>
  <si>
    <t>DATA 00, 01, 02, 82; GUI shows RUNNING / PAUSED after reconnect.</t>
  </si>
  <si>
    <t>SW-REQ-002, SW-REQ-003, SW-REQ-037, SW-REQ-039</t>
  </si>
  <si>
    <t>Send AA 42 00.</t>
  </si>
  <si>
    <t>AA C2 E1.</t>
  </si>
  <si>
    <t>Door stress</t>
  </si>
  <si>
    <t>Press B1 20 times quickly while the cycle runs.</t>
  </si>
  <si>
    <t>Alternating EVT_DOOR, no corrupted frame, no deadlock, cycle ends normally.</t>
  </si>
  <si>
    <t>SW-REQ-019, SW-REQ-025, SW-REQ-026</t>
  </si>
  <si>
    <t>GUI guard and simulator</t>
  </si>
  <si>
    <t>GUI with Simulator port</t>
  </si>
  <si>
    <t>Repeat TC-02 to TC-09 on the simulator; tick 'GUI blocks invalid actions'.</t>
  </si>
  <si>
    <t>Same results as the board; buttons greyed in RUN/PAUSED and without configuration.</t>
  </si>
  <si>
    <t>SW-REQ-035, SW-REQ-038</t>
  </si>
  <si>
    <t>Code review and inspection</t>
  </si>
  <si>
    <t>apk6.c</t>
  </si>
  <si>
    <t>Check priorities, mutex taken before vTaskSuspend, QueueCmd drained in RUN, APK6 guard.</t>
  </si>
  <si>
    <t>All checklist items OK.</t>
  </si>
  <si>
    <t>SW-REQ-018, SW-REQ-025, SW-REQ-027, SW-REQ-029</t>
  </si>
  <si>
    <t>Traceability Matrix SW Requirement x Test Case</t>
  </si>
  <si>
    <t>APK6-SRS-001  |  Version 1.1  |  X = test case verifies the requirement (bidirectional, ASPICE SWE.6 BP5)</t>
  </si>
  <si>
    <t>SW req</t>
  </si>
  <si>
    <t># tests</t>
  </si>
  <si>
    <t>Coverage</t>
  </si>
  <si>
    <t>X</t>
  </si>
  <si>
    <t># reqs</t>
  </si>
  <si>
    <t>APK6-SRS-001  |  Version 1.1  |  All values are formulas - they update when the sheets change</t>
  </si>
  <si>
    <t>Total SW requirements</t>
  </si>
  <si>
    <t>Total system requirements</t>
  </si>
  <si>
    <t>Total test cases</t>
  </si>
  <si>
    <t>SW reqs covered by a test</t>
  </si>
  <si>
    <t>SYS reqs without SW req</t>
  </si>
  <si>
    <t>SW reqs with invalid parent</t>
  </si>
  <si>
    <t>SW requirements by status</t>
  </si>
  <si>
    <t>Count</t>
  </si>
  <si>
    <t>Share</t>
  </si>
  <si>
    <t>In review</t>
  </si>
  <si>
    <t>Rejected</t>
  </si>
  <si>
    <t>Deferred</t>
  </si>
  <si>
    <t>SW requirements by type</t>
  </si>
  <si>
    <t>SW requirements by verification method</t>
  </si>
  <si>
    <t>Analysis</t>
  </si>
  <si>
    <t>Test results</t>
  </si>
  <si>
    <t>Passed</t>
  </si>
  <si>
    <t>Failed</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</si>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</sst>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rgb="FF1F3864"/>
      <name val="Arial"/>
    </font>
    <font>
      <i/>
      <sz val="11"/>
      <color rgb="FF595959"/>
      <name val="Arial"/>
    </font>
    <font>
      <b/>
      <sz val="10"/>
      <name val="Arial"/>
    </font>
    <font>
      <sz val="10"/>
      <name val="Arial"/>
    </font>
    <font>
      <b/>
      <sz val="12"/>
      <color rgb="FF1F3864"/>
      <name val="Arial"/>
    </font>
    <font>
      <b/>
      <sz val="10"/>
      <color rgb="FFFFFFFF"/>
      <name val="Arial"/>
    </font>
    <font>
      <b/>
      <sz val="14"/>
      <color rgb="FF1F3864"/>
      <name val="Arial"/>
    </font>
    <font>
      <i/>
      <sz val="9"/>
      <color rgb="FF595959"/>
      <name val="Arial"/>
    </font>
  </fonts>
  <fills count="7">
    <fill>
      <patternFill patternType="none"/>
    </fill>
    <fill>
      <patternFill patternType="gray125"/>
    </fill>
    <fill>
      <patternFill patternType="solid">
        <fgColor rgb="FFD9E2F3"/>
      </patternFill>
    </fill>
    <fill>
      <patternFill patternType="solid">
        <fgColor rgb="FF1F3864"/>
      </patternFill>
    </fill>
    <fill>
      <patternFill patternType="solid">
        <fgColor rgb="FFFFF2CC"/>
      </patternFill>
    </fill>
    <fill>
      <patternFill patternType="solid">
        <fgColor rgb="FFF2F2F2"/>
      </patternFill>
    </fill>
    <fill>
      <patternFill patternType="solid">
        <fgColor rgb="FF00B050"/>
        <bgColor indexed="64"/>
      </patternFill>
    </fill>
  </fills>
  <borders count="3">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2" borderId="1" xfId="0" applyFont="1" applyFill="1" applyBorder="1"/>
    <xf numFmtId="0" fontId="4" fillId="0" borderId="1" xfId="0" applyFont="1" applyBorder="1"/>
    <xf numFmtId="0" fontId="5" fillId="0" borderId="0" xfId="0" applyFont="1"/>
    <xf numFmtId="0" fontId="6" fillId="3" borderId="1" xfId="0" applyFont="1" applyFill="1" applyBorder="1"/>
    <xf numFmtId="0" fontId="3" fillId="0" borderId="0" xfId="0" applyFont="1"/>
    <xf numFmtId="0" fontId="4" fillId="0" borderId="0" xfId="0" applyFont="1"/>
    <xf numFmtId="0" fontId="3" fillId="4" borderId="0" xfId="0" applyFont="1" applyFill="1"/>
    <xf numFmtId="0" fontId="7" fillId="0" borderId="0" xfId="0" applyFont="1"/>
    <xf numFmtId="0" fontId="8" fillId="0" borderId="0" xfId="0" applyFont="1"/>
    <xf numFmtId="0" fontId="6" fillId="3"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xf numFmtId="0" fontId="4" fillId="4" borderId="1" xfId="0" applyFont="1" applyFill="1" applyBorder="1" applyAlignment="1">
      <alignment vertical="top" wrapText="1"/>
    </xf>
    <xf numFmtId="0" fontId="6" fillId="3" borderId="1" xfId="0" applyFont="1" applyFill="1" applyBorder="1" applyAlignment="1">
      <alignment horizontal="center" vertical="center" textRotation="90"/>
    </xf>
    <xf numFmtId="0" fontId="3" fillId="0" borderId="1" xfId="0" applyFont="1" applyBorder="1" applyAlignment="1">
      <alignment horizontal="center" vertical="top" wrapText="1"/>
    </xf>
    <xf numFmtId="0" fontId="3" fillId="0" borderId="1" xfId="0" applyFont="1" applyBorder="1"/>
    <xf numFmtId="9" fontId="4" fillId="0" borderId="1" xfId="0" applyNumberFormat="1" applyFont="1" applyBorder="1"/>
    <xf numFmtId="0" fontId="4" fillId="6" borderId="1" xfId="0" applyFont="1" applyFill="1" applyBorder="1" applyAlignment="1">
      <alignment vertical="top" wrapText="1"/>
    </xf>
    <xf numFmtId="0" fontId="4" fillId="0" borderId="1" xfId="0" applyFont="1" applyBorder="1"/>
    <xf numFmtId="0" fontId="0" fillId="0" borderId="2" xfId="0" applyBorder="1"/>
  </cellXfs>
  <cellStyles count="1">
    <cellStyle name="Normal" xfId="0" builtinId="0"/>
  </cellStyles>
  <dxfs count="9">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BDD7EE"/>
        </patternFill>
      </fill>
    </dxf>
    <dxf>
      <fill>
        <patternFill patternType="solid">
          <fgColor rgb="FFFFC7CE"/>
        </patternFill>
      </fill>
    </dxf>
    <dxf>
      <fill>
        <patternFill patternType="solid">
          <fgColor rgb="FFC6EFCE"/>
        </patternFill>
      </fill>
    </dxf>
    <dxf>
      <fill>
        <patternFill patternType="solid">
          <fgColor rgb="FFF8CBAD"/>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FE8C8C-9B1F-4F1A-A5F9-5BF429A3E9A7}">
  <we:reference id="wa200010725" version="1.0.0.1" store="en-US" storeType="OMEX"/>
  <we:alternateReferences>
    <we:reference id="WA200010725" version="1.0.0.1"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D33"/>
  <sheetViews>
    <sheetView showGridLines="0" topLeftCell="A6" workbookViewId="0">
      <selection activeCell="D44" sqref="D44"/>
    </sheetView>
  </sheetViews>
  <sheetFormatPr baseColWidth="10" defaultColWidth="8.88671875" defaultRowHeight="14.4" x14ac:dyDescent="0.3"/>
  <cols>
    <col min="1" max="5" width="26" customWidth="1"/>
  </cols>
  <sheetData>
    <row r="1" spans="1:4" ht="22.8" x14ac:dyDescent="0.4">
      <c r="A1" s="1" t="s">
        <v>0</v>
      </c>
    </row>
    <row r="2" spans="1:4" x14ac:dyDescent="0.3">
      <c r="A2" s="2" t="s">
        <v>1</v>
      </c>
    </row>
    <row r="4" spans="1:4" x14ac:dyDescent="0.3">
      <c r="A4" s="3" t="s">
        <v>2</v>
      </c>
      <c r="B4" s="24" t="s">
        <v>3</v>
      </c>
      <c r="C4" s="25"/>
    </row>
    <row r="5" spans="1:4" x14ac:dyDescent="0.3">
      <c r="A5" s="3" t="s">
        <v>4</v>
      </c>
      <c r="B5" s="24" t="s">
        <v>5</v>
      </c>
      <c r="C5" s="25"/>
    </row>
    <row r="6" spans="1:4" x14ac:dyDescent="0.3">
      <c r="A6" s="3" t="s">
        <v>6</v>
      </c>
      <c r="B6" s="24" t="s">
        <v>7</v>
      </c>
      <c r="C6" s="25"/>
    </row>
    <row r="7" spans="1:4" x14ac:dyDescent="0.3">
      <c r="A7" s="3" t="s">
        <v>8</v>
      </c>
      <c r="B7" s="24" t="s">
        <v>9</v>
      </c>
      <c r="C7" s="25"/>
    </row>
    <row r="8" spans="1:4" x14ac:dyDescent="0.3">
      <c r="A8" s="3" t="s">
        <v>10</v>
      </c>
      <c r="B8" s="24" t="s">
        <v>11</v>
      </c>
      <c r="C8" s="25"/>
    </row>
    <row r="9" spans="1:4" x14ac:dyDescent="0.3">
      <c r="A9" s="3" t="s">
        <v>12</v>
      </c>
      <c r="B9" s="24" t="s">
        <v>13</v>
      </c>
      <c r="C9" s="25"/>
    </row>
    <row r="10" spans="1:4" x14ac:dyDescent="0.3">
      <c r="A10" s="3" t="s">
        <v>14</v>
      </c>
      <c r="B10" s="24" t="s">
        <v>15</v>
      </c>
      <c r="C10" s="25"/>
    </row>
    <row r="11" spans="1:4" x14ac:dyDescent="0.3">
      <c r="A11" s="3" t="s">
        <v>16</v>
      </c>
      <c r="B11" s="24" t="s">
        <v>17</v>
      </c>
      <c r="C11" s="25"/>
    </row>
    <row r="12" spans="1:4" x14ac:dyDescent="0.3">
      <c r="A12" s="3" t="s">
        <v>18</v>
      </c>
      <c r="B12" s="24" t="s">
        <v>19</v>
      </c>
      <c r="C12" s="25"/>
    </row>
    <row r="14" spans="1:4" ht="15.6" x14ac:dyDescent="0.3">
      <c r="A14" s="5" t="s">
        <v>20</v>
      </c>
    </row>
    <row r="15" spans="1:4" x14ac:dyDescent="0.3">
      <c r="A15" s="6" t="s">
        <v>4</v>
      </c>
      <c r="B15" s="6" t="s">
        <v>6</v>
      </c>
      <c r="C15" s="6" t="s">
        <v>8</v>
      </c>
      <c r="D15" s="6" t="s">
        <v>21</v>
      </c>
    </row>
    <row r="16" spans="1:4" x14ac:dyDescent="0.3">
      <c r="A16" s="4" t="s">
        <v>22</v>
      </c>
      <c r="B16" s="4" t="s">
        <v>23</v>
      </c>
      <c r="C16" s="4" t="s">
        <v>9</v>
      </c>
      <c r="D16" s="4" t="s">
        <v>24</v>
      </c>
    </row>
    <row r="17" spans="1:4" x14ac:dyDescent="0.3">
      <c r="A17" s="4" t="s">
        <v>5</v>
      </c>
      <c r="B17" s="4" t="s">
        <v>7</v>
      </c>
      <c r="C17" s="4" t="s">
        <v>9</v>
      </c>
      <c r="D17" s="4" t="s">
        <v>25</v>
      </c>
    </row>
    <row r="20" spans="1:4" ht="15.6" x14ac:dyDescent="0.3">
      <c r="A20" s="5" t="s">
        <v>26</v>
      </c>
    </row>
    <row r="21" spans="1:4" x14ac:dyDescent="0.3">
      <c r="A21" s="7" t="s">
        <v>27</v>
      </c>
      <c r="B21" s="8" t="s">
        <v>28</v>
      </c>
    </row>
    <row r="22" spans="1:4" x14ac:dyDescent="0.3">
      <c r="A22" s="7" t="s">
        <v>29</v>
      </c>
      <c r="B22" s="8" t="s">
        <v>30</v>
      </c>
    </row>
    <row r="23" spans="1:4" x14ac:dyDescent="0.3">
      <c r="A23" s="7" t="s">
        <v>31</v>
      </c>
      <c r="B23" s="8" t="s">
        <v>32</v>
      </c>
    </row>
    <row r="24" spans="1:4" x14ac:dyDescent="0.3">
      <c r="A24" s="7" t="s">
        <v>33</v>
      </c>
      <c r="B24" s="8" t="s">
        <v>34</v>
      </c>
    </row>
    <row r="25" spans="1:4" x14ac:dyDescent="0.3">
      <c r="A25" s="7" t="s">
        <v>35</v>
      </c>
      <c r="B25" s="8" t="s">
        <v>36</v>
      </c>
    </row>
    <row r="26" spans="1:4" x14ac:dyDescent="0.3">
      <c r="A26" s="7" t="s">
        <v>37</v>
      </c>
      <c r="B26" s="8" t="s">
        <v>38</v>
      </c>
    </row>
    <row r="27" spans="1:4" x14ac:dyDescent="0.3">
      <c r="A27" s="7" t="s">
        <v>39</v>
      </c>
      <c r="B27" s="8" t="s">
        <v>40</v>
      </c>
    </row>
    <row r="29" spans="1:4" ht="15.6" x14ac:dyDescent="0.3">
      <c r="A29" s="5" t="s">
        <v>41</v>
      </c>
    </row>
    <row r="30" spans="1:4" x14ac:dyDescent="0.3">
      <c r="A30" s="9" t="s">
        <v>42</v>
      </c>
      <c r="B30" s="8" t="s">
        <v>43</v>
      </c>
    </row>
    <row r="31" spans="1:4" x14ac:dyDescent="0.3">
      <c r="A31" s="7" t="s">
        <v>44</v>
      </c>
      <c r="B31" s="8" t="s">
        <v>45</v>
      </c>
    </row>
    <row r="32" spans="1:4" x14ac:dyDescent="0.3">
      <c r="A32" s="7" t="s">
        <v>46</v>
      </c>
      <c r="B32" s="8" t="s">
        <v>47</v>
      </c>
    </row>
    <row r="33" spans="1:2" x14ac:dyDescent="0.3">
      <c r="A33" s="7" t="s">
        <v>48</v>
      </c>
      <c r="B33" s="8" t="s">
        <v>49</v>
      </c>
    </row>
  </sheetData>
  <mergeCells count="9">
    <mergeCell ref="B4:C4"/>
    <mergeCell ref="B12:C12"/>
    <mergeCell ref="B6:C6"/>
    <mergeCell ref="B7:C7"/>
    <mergeCell ref="B11:C11"/>
    <mergeCell ref="B5:C5"/>
    <mergeCell ref="B10:C10"/>
    <mergeCell ref="B9:C9"/>
    <mergeCell ref="B8:C8"/>
  </mergeCells>
  <pageMargins left="0.75" right="0.75" top="1" bottom="1" header="0.5" footer="0.5"/>
  <pageSetup fitToHeight="0" orientation="landscape"/>
  <headerFooter>
    <oddFooter>&amp;LAPK6-SRS-001 v1.1&amp;RPage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9DB"/>
    <pageSetUpPr fitToPage="1"/>
  </sheetPr>
  <dimension ref="A1:I15"/>
  <sheetViews>
    <sheetView showGridLines="0" zoomScale="145" zoomScaleNormal="145" workbookViewId="0">
      <pane xSplit="1" ySplit="4" topLeftCell="B5" activePane="bottomRight" state="frozen"/>
      <selection pane="topRight"/>
      <selection pane="bottomLeft"/>
      <selection pane="bottomRight" activeCell="B5" sqref="B5:C15"/>
    </sheetView>
  </sheetViews>
  <sheetFormatPr baseColWidth="10" defaultColWidth="8.88671875" defaultRowHeight="14.4" x14ac:dyDescent="0.3"/>
  <cols>
    <col min="1" max="1" width="14" customWidth="1"/>
    <col min="2" max="2" width="22" customWidth="1"/>
    <col min="3" max="3" width="60" customWidth="1"/>
    <col min="4" max="4" width="15" customWidth="1"/>
    <col min="5" max="5" width="34" customWidth="1"/>
    <col min="6" max="6" width="10" customWidth="1"/>
    <col min="7" max="7" width="12" customWidth="1"/>
    <col min="8" max="8" width="14" customWidth="1"/>
    <col min="9" max="9" width="12" customWidth="1"/>
  </cols>
  <sheetData>
    <row r="1" spans="1:9" ht="17.399999999999999" x14ac:dyDescent="0.3">
      <c r="A1" s="10" t="s">
        <v>50</v>
      </c>
    </row>
    <row r="2" spans="1:9" x14ac:dyDescent="0.3">
      <c r="A2" s="11" t="s">
        <v>51</v>
      </c>
    </row>
    <row r="4" spans="1:9" ht="30" customHeight="1" x14ac:dyDescent="0.3">
      <c r="A4" s="12" t="s">
        <v>52</v>
      </c>
      <c r="B4" s="12" t="s">
        <v>53</v>
      </c>
      <c r="C4" s="12" t="s">
        <v>54</v>
      </c>
      <c r="D4" s="12" t="s">
        <v>55</v>
      </c>
      <c r="E4" s="12" t="s">
        <v>56</v>
      </c>
      <c r="F4" s="12" t="s">
        <v>57</v>
      </c>
      <c r="G4" s="12" t="s">
        <v>46</v>
      </c>
      <c r="H4" s="12" t="s">
        <v>48</v>
      </c>
      <c r="I4" s="12" t="s">
        <v>58</v>
      </c>
    </row>
    <row r="5" spans="1:9" ht="39.6" x14ac:dyDescent="0.3">
      <c r="A5" s="13" t="s">
        <v>59</v>
      </c>
      <c r="B5" s="14" t="s">
        <v>60</v>
      </c>
      <c r="C5" s="14" t="s">
        <v>61</v>
      </c>
      <c r="D5" s="13" t="s">
        <v>62</v>
      </c>
      <c r="E5" s="14" t="s">
        <v>63</v>
      </c>
      <c r="F5" s="15" t="s">
        <v>64</v>
      </c>
      <c r="G5" s="15" t="s">
        <v>65</v>
      </c>
      <c r="H5" s="15" t="s">
        <v>66</v>
      </c>
      <c r="I5" s="13">
        <f>COUNTIF('SW Requirements'!$F$5:$F$200,"*"&amp;A5&amp;"*")</f>
        <v>6</v>
      </c>
    </row>
    <row r="6" spans="1:9" x14ac:dyDescent="0.3">
      <c r="A6" s="16" t="s">
        <v>67</v>
      </c>
      <c r="B6" s="17" t="s">
        <v>68</v>
      </c>
      <c r="C6" s="17" t="s">
        <v>69</v>
      </c>
      <c r="D6" s="16" t="s">
        <v>62</v>
      </c>
      <c r="E6" s="17" t="s">
        <v>70</v>
      </c>
      <c r="F6" s="15" t="s">
        <v>64</v>
      </c>
      <c r="G6" s="15" t="s">
        <v>65</v>
      </c>
      <c r="H6" s="15" t="s">
        <v>66</v>
      </c>
      <c r="I6" s="16">
        <f>COUNTIF('SW Requirements'!$F$5:$F$200,"*"&amp;A6&amp;"*")</f>
        <v>3</v>
      </c>
    </row>
    <row r="7" spans="1:9" ht="26.4" x14ac:dyDescent="0.3">
      <c r="A7" s="13" t="s">
        <v>71</v>
      </c>
      <c r="B7" s="14" t="s">
        <v>72</v>
      </c>
      <c r="C7" s="14" t="s">
        <v>73</v>
      </c>
      <c r="D7" s="13" t="s">
        <v>62</v>
      </c>
      <c r="E7" s="14" t="s">
        <v>74</v>
      </c>
      <c r="F7" s="15" t="s">
        <v>64</v>
      </c>
      <c r="G7" s="15" t="s">
        <v>65</v>
      </c>
      <c r="H7" s="15" t="s">
        <v>66</v>
      </c>
      <c r="I7" s="13">
        <f>COUNTIF('SW Requirements'!$F$5:$F$200,"*"&amp;A7&amp;"*")</f>
        <v>4</v>
      </c>
    </row>
    <row r="8" spans="1:9" ht="26.4" x14ac:dyDescent="0.3">
      <c r="A8" s="16" t="s">
        <v>75</v>
      </c>
      <c r="B8" s="17" t="s">
        <v>76</v>
      </c>
      <c r="C8" s="17" t="s">
        <v>77</v>
      </c>
      <c r="D8" s="16" t="s">
        <v>78</v>
      </c>
      <c r="E8" s="17" t="s">
        <v>79</v>
      </c>
      <c r="F8" s="15" t="s">
        <v>64</v>
      </c>
      <c r="G8" s="15" t="s">
        <v>65</v>
      </c>
      <c r="H8" s="15" t="s">
        <v>66</v>
      </c>
      <c r="I8" s="16">
        <f>COUNTIF('SW Requirements'!$F$5:$F$200,"*"&amp;A8&amp;"*")</f>
        <v>4</v>
      </c>
    </row>
    <row r="9" spans="1:9" ht="26.4" x14ac:dyDescent="0.3">
      <c r="A9" s="13" t="s">
        <v>80</v>
      </c>
      <c r="B9" s="14" t="s">
        <v>81</v>
      </c>
      <c r="C9" s="14" t="s">
        <v>82</v>
      </c>
      <c r="D9" s="13" t="s">
        <v>62</v>
      </c>
      <c r="E9" s="14" t="s">
        <v>83</v>
      </c>
      <c r="F9" s="15" t="s">
        <v>64</v>
      </c>
      <c r="G9" s="15" t="s">
        <v>65</v>
      </c>
      <c r="H9" s="15" t="s">
        <v>66</v>
      </c>
      <c r="I9" s="13">
        <f>COUNTIF('SW Requirements'!$F$5:$F$200,"*"&amp;A9&amp;"*")</f>
        <v>8</v>
      </c>
    </row>
    <row r="10" spans="1:9" ht="26.4" x14ac:dyDescent="0.3">
      <c r="A10" s="16" t="s">
        <v>84</v>
      </c>
      <c r="B10" s="17" t="s">
        <v>85</v>
      </c>
      <c r="C10" s="17" t="s">
        <v>86</v>
      </c>
      <c r="D10" s="16" t="s">
        <v>62</v>
      </c>
      <c r="E10" s="17" t="s">
        <v>87</v>
      </c>
      <c r="F10" s="15" t="s">
        <v>64</v>
      </c>
      <c r="G10" s="15" t="s">
        <v>65</v>
      </c>
      <c r="H10" s="15" t="s">
        <v>66</v>
      </c>
      <c r="I10" s="16">
        <f>COUNTIF('SW Requirements'!$F$5:$F$200,"*"&amp;A10&amp;"*")</f>
        <v>4</v>
      </c>
    </row>
    <row r="11" spans="1:9" ht="39.6" x14ac:dyDescent="0.3">
      <c r="A11" s="13" t="s">
        <v>88</v>
      </c>
      <c r="B11" s="14" t="s">
        <v>89</v>
      </c>
      <c r="C11" s="14" t="s">
        <v>90</v>
      </c>
      <c r="D11" s="13" t="s">
        <v>62</v>
      </c>
      <c r="E11" s="14" t="s">
        <v>91</v>
      </c>
      <c r="F11" s="15" t="s">
        <v>64</v>
      </c>
      <c r="G11" s="15" t="s">
        <v>65</v>
      </c>
      <c r="H11" s="15" t="s">
        <v>66</v>
      </c>
      <c r="I11" s="13">
        <f>COUNTIF('SW Requirements'!$F$5:$F$200,"*"&amp;A11&amp;"*")</f>
        <v>8</v>
      </c>
    </row>
    <row r="12" spans="1:9" ht="39.6" x14ac:dyDescent="0.3">
      <c r="A12" s="16" t="s">
        <v>92</v>
      </c>
      <c r="B12" s="17" t="s">
        <v>93</v>
      </c>
      <c r="C12" s="17" t="s">
        <v>94</v>
      </c>
      <c r="D12" s="16" t="s">
        <v>95</v>
      </c>
      <c r="E12" s="17" t="s">
        <v>96</v>
      </c>
      <c r="F12" s="15" t="s">
        <v>64</v>
      </c>
      <c r="G12" s="15" t="s">
        <v>65</v>
      </c>
      <c r="H12" s="15" t="s">
        <v>66</v>
      </c>
      <c r="I12" s="16">
        <f>COUNTIF('SW Requirements'!$F$5:$F$200,"*"&amp;A12&amp;"*")</f>
        <v>8</v>
      </c>
    </row>
    <row r="13" spans="1:9" ht="26.4" x14ac:dyDescent="0.3">
      <c r="A13" s="13" t="s">
        <v>97</v>
      </c>
      <c r="B13" s="14" t="s">
        <v>98</v>
      </c>
      <c r="C13" s="14" t="s">
        <v>99</v>
      </c>
      <c r="D13" s="13" t="s">
        <v>62</v>
      </c>
      <c r="E13" s="14" t="s">
        <v>100</v>
      </c>
      <c r="F13" s="15" t="s">
        <v>64</v>
      </c>
      <c r="G13" s="15" t="s">
        <v>65</v>
      </c>
      <c r="H13" s="15" t="s">
        <v>66</v>
      </c>
      <c r="I13" s="13">
        <f>COUNTIF('SW Requirements'!$F$5:$F$200,"*"&amp;A13&amp;"*")</f>
        <v>3</v>
      </c>
    </row>
    <row r="14" spans="1:9" ht="26.4" x14ac:dyDescent="0.3">
      <c r="A14" s="16" t="s">
        <v>101</v>
      </c>
      <c r="B14" s="17" t="s">
        <v>102</v>
      </c>
      <c r="C14" s="17" t="s">
        <v>103</v>
      </c>
      <c r="D14" s="16" t="s">
        <v>104</v>
      </c>
      <c r="E14" s="17" t="s">
        <v>105</v>
      </c>
      <c r="F14" s="15" t="s">
        <v>64</v>
      </c>
      <c r="G14" s="15" t="s">
        <v>65</v>
      </c>
      <c r="H14" s="15" t="s">
        <v>66</v>
      </c>
      <c r="I14" s="16">
        <f>COUNTIF('SW Requirements'!$F$5:$F$200,"*"&amp;A14&amp;"*")</f>
        <v>1</v>
      </c>
    </row>
    <row r="15" spans="1:9" ht="26.4" x14ac:dyDescent="0.3">
      <c r="A15" s="13" t="s">
        <v>106</v>
      </c>
      <c r="B15" s="14" t="s">
        <v>107</v>
      </c>
      <c r="C15" s="14" t="s">
        <v>108</v>
      </c>
      <c r="D15" s="13" t="s">
        <v>62</v>
      </c>
      <c r="E15" s="14" t="s">
        <v>109</v>
      </c>
      <c r="F15" s="15" t="s">
        <v>64</v>
      </c>
      <c r="G15" s="15" t="s">
        <v>65</v>
      </c>
      <c r="H15" s="15" t="s">
        <v>66</v>
      </c>
      <c r="I15" s="13">
        <f>COUNTIF('SW Requirements'!$F$5:$F$200,"*"&amp;A15&amp;"*")</f>
        <v>1</v>
      </c>
    </row>
  </sheetData>
  <autoFilter ref="A4:I15" xr:uid="{00000000-0009-0000-0000-000001000000}"/>
  <conditionalFormatting sqref="I5:I15">
    <cfRule type="cellIs" dxfId="8" priority="1" operator="equal">
      <formula>0</formula>
    </cfRule>
  </conditionalFormatting>
  <dataValidations count="3">
    <dataValidation type="list" allowBlank="1" errorTitle="Invalid value" error="Pick a value from the list" sqref="F5:F15" xr:uid="{00000000-0002-0000-0100-000000000000}">
      <formula1>"High,Medium,Low"</formula1>
    </dataValidation>
    <dataValidation type="list" allowBlank="1" errorTitle="Invalid value" error="Pick a value from the list" sqref="G5:G15" xr:uid="{00000000-0002-0000-0100-000001000000}">
      <formula1>"Draft,In review,Accepted,Rejected,Deferred"</formula1>
    </dataValidation>
    <dataValidation type="list" allowBlank="1" errorTitle="Invalid value" error="Pick a value from the list" sqref="H5:H15" xr:uid="{00000000-0002-0000-0100-000002000000}">
      <formula1>"Test,Analysis,Review,Inspection,Demonstration"</formula1>
    </dataValidation>
  </dataValidations>
  <pageMargins left="0.75" right="0.75" top="1" bottom="1" header="0.5" footer="0.5"/>
  <pageSetup fitToHeight="0" orientation="landscape"/>
  <headerFooter>
    <oddFooter>&amp;LAPK6-SRS-001 v1.1&amp;RPage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8EA9DB"/>
    <pageSetUpPr fitToPage="1"/>
  </sheetPr>
  <dimension ref="A1:O43"/>
  <sheetViews>
    <sheetView showGridLines="0" tabSelected="1" zoomScaleNormal="100" workbookViewId="0">
      <pane xSplit="1" ySplit="4" topLeftCell="B11" activePane="bottomRight" state="frozen"/>
      <selection pane="topRight"/>
      <selection pane="bottomLeft"/>
      <selection pane="bottomRight" activeCell="E11" sqref="E11:E43"/>
    </sheetView>
  </sheetViews>
  <sheetFormatPr baseColWidth="10" defaultColWidth="8.88671875" defaultRowHeight="14.4" x14ac:dyDescent="0.3"/>
  <cols>
    <col min="1" max="1" width="12" customWidth="1"/>
    <col min="2" max="2" width="22" customWidth="1"/>
    <col min="3" max="3" width="58" customWidth="1"/>
    <col min="4" max="4" width="14" customWidth="1"/>
    <col min="5" max="5" width="16" customWidth="1"/>
    <col min="6" max="6" width="18" customWidth="1"/>
    <col min="7" max="7" width="30" customWidth="1"/>
    <col min="8" max="8" width="9" customWidth="1"/>
    <col min="9" max="9" width="11" customWidth="1"/>
    <col min="10" max="10" width="13" customWidth="1"/>
    <col min="11" max="11" width="36" customWidth="1"/>
    <col min="12" max="12" width="16" customWidth="1"/>
    <col min="13" max="13" width="8" customWidth="1"/>
    <col min="14" max="14" width="10" customWidth="1"/>
    <col min="15" max="15" width="20" customWidth="1"/>
  </cols>
  <sheetData>
    <row r="1" spans="1:15" ht="17.399999999999999" x14ac:dyDescent="0.3">
      <c r="A1" s="10" t="s">
        <v>110</v>
      </c>
    </row>
    <row r="2" spans="1:15" x14ac:dyDescent="0.3">
      <c r="A2" s="11" t="s">
        <v>111</v>
      </c>
    </row>
    <row r="4" spans="1:15" ht="30" customHeight="1" x14ac:dyDescent="0.3">
      <c r="A4" s="12" t="s">
        <v>52</v>
      </c>
      <c r="B4" s="12" t="s">
        <v>53</v>
      </c>
      <c r="C4" s="12" t="s">
        <v>54</v>
      </c>
      <c r="D4" s="12" t="s">
        <v>55</v>
      </c>
      <c r="E4" s="12" t="s">
        <v>112</v>
      </c>
      <c r="F4" s="12" t="s">
        <v>113</v>
      </c>
      <c r="G4" s="12" t="s">
        <v>56</v>
      </c>
      <c r="H4" s="12" t="s">
        <v>57</v>
      </c>
      <c r="I4" s="12" t="s">
        <v>46</v>
      </c>
      <c r="J4" s="12" t="s">
        <v>48</v>
      </c>
      <c r="K4" s="12" t="s">
        <v>114</v>
      </c>
      <c r="L4" s="12" t="s">
        <v>115</v>
      </c>
      <c r="M4" s="12" t="s">
        <v>116</v>
      </c>
      <c r="N4" s="12" t="s">
        <v>117</v>
      </c>
      <c r="O4" s="12" t="s">
        <v>118</v>
      </c>
    </row>
    <row r="5" spans="1:15" ht="39.6" hidden="1" x14ac:dyDescent="0.3">
      <c r="A5" s="13" t="s">
        <v>119</v>
      </c>
      <c r="B5" s="14" t="s">
        <v>120</v>
      </c>
      <c r="C5" s="14" t="s">
        <v>121</v>
      </c>
      <c r="D5" s="13" t="s">
        <v>62</v>
      </c>
      <c r="E5" s="14" t="s">
        <v>122</v>
      </c>
      <c r="F5" s="14" t="s">
        <v>123</v>
      </c>
      <c r="G5" s="14" t="s">
        <v>124</v>
      </c>
      <c r="H5" s="15" t="s">
        <v>64</v>
      </c>
      <c r="I5" s="15" t="s">
        <v>65</v>
      </c>
      <c r="J5" s="15" t="s">
        <v>66</v>
      </c>
      <c r="K5" s="14" t="s">
        <v>125</v>
      </c>
      <c r="L5" s="14" t="s">
        <v>126</v>
      </c>
      <c r="M5" s="13" t="s">
        <v>127</v>
      </c>
      <c r="N5" s="13" t="str">
        <f>IF(ISNUMBER(MATCH(LEFT(F5,11),'System Requirements'!$A$5:$A$15,0)),"OK","MISSING")</f>
        <v>OK</v>
      </c>
      <c r="O5" s="14"/>
    </row>
    <row r="6" spans="1:15" ht="39.6" hidden="1" x14ac:dyDescent="0.3">
      <c r="A6" s="16" t="s">
        <v>128</v>
      </c>
      <c r="B6" s="17" t="s">
        <v>129</v>
      </c>
      <c r="C6" s="17" t="s">
        <v>130</v>
      </c>
      <c r="D6" s="16" t="s">
        <v>62</v>
      </c>
      <c r="E6" s="17" t="s">
        <v>131</v>
      </c>
      <c r="F6" s="17" t="s">
        <v>92</v>
      </c>
      <c r="G6" s="17" t="s">
        <v>132</v>
      </c>
      <c r="H6" s="15" t="s">
        <v>64</v>
      </c>
      <c r="I6" s="15" t="s">
        <v>65</v>
      </c>
      <c r="J6" s="15" t="s">
        <v>66</v>
      </c>
      <c r="K6" s="17" t="s">
        <v>133</v>
      </c>
      <c r="L6" s="17" t="s">
        <v>134</v>
      </c>
      <c r="M6" s="16" t="s">
        <v>127</v>
      </c>
      <c r="N6" s="16" t="str">
        <f>IF(ISNUMBER(MATCH(LEFT(F6,11),'System Requirements'!$A$5:$A$15,0)),"OK","MISSING")</f>
        <v>OK</v>
      </c>
      <c r="O6" s="17"/>
    </row>
    <row r="7" spans="1:15" ht="39.6" hidden="1" x14ac:dyDescent="0.3">
      <c r="A7" s="13" t="s">
        <v>135</v>
      </c>
      <c r="B7" s="14" t="s">
        <v>136</v>
      </c>
      <c r="C7" s="14" t="s">
        <v>137</v>
      </c>
      <c r="D7" s="13" t="s">
        <v>95</v>
      </c>
      <c r="E7" s="14" t="s">
        <v>131</v>
      </c>
      <c r="F7" s="14" t="s">
        <v>75</v>
      </c>
      <c r="G7" s="14" t="s">
        <v>138</v>
      </c>
      <c r="H7" s="15" t="s">
        <v>139</v>
      </c>
      <c r="I7" s="15" t="s">
        <v>65</v>
      </c>
      <c r="J7" s="15" t="s">
        <v>66</v>
      </c>
      <c r="K7" s="14" t="s">
        <v>140</v>
      </c>
      <c r="L7" s="14" t="s">
        <v>141</v>
      </c>
      <c r="M7" s="13" t="s">
        <v>127</v>
      </c>
      <c r="N7" s="13" t="str">
        <f>IF(ISNUMBER(MATCH(LEFT(F7,11),'System Requirements'!$A$5:$A$15,0)),"OK","MISSING")</f>
        <v>OK</v>
      </c>
      <c r="O7" s="14"/>
    </row>
    <row r="8" spans="1:15" ht="52.8" hidden="1" x14ac:dyDescent="0.3">
      <c r="A8" s="16" t="s">
        <v>142</v>
      </c>
      <c r="B8" s="17" t="s">
        <v>143</v>
      </c>
      <c r="C8" s="17" t="s">
        <v>144</v>
      </c>
      <c r="D8" s="16" t="s">
        <v>62</v>
      </c>
      <c r="E8" s="17" t="s">
        <v>131</v>
      </c>
      <c r="F8" s="17" t="s">
        <v>88</v>
      </c>
      <c r="G8" s="17" t="s">
        <v>145</v>
      </c>
      <c r="H8" s="15" t="s">
        <v>64</v>
      </c>
      <c r="I8" s="15" t="s">
        <v>65</v>
      </c>
      <c r="J8" s="15" t="s">
        <v>66</v>
      </c>
      <c r="K8" s="17" t="s">
        <v>146</v>
      </c>
      <c r="L8" s="17" t="s">
        <v>147</v>
      </c>
      <c r="M8" s="16" t="s">
        <v>127</v>
      </c>
      <c r="N8" s="16" t="str">
        <f>IF(ISNUMBER(MATCH(LEFT(F8,11),'System Requirements'!$A$5:$A$15,0)),"OK","MISSING")</f>
        <v>OK</v>
      </c>
      <c r="O8" s="17"/>
    </row>
    <row r="9" spans="1:15" ht="39.6" hidden="1" x14ac:dyDescent="0.3">
      <c r="A9" s="13" t="s">
        <v>148</v>
      </c>
      <c r="B9" s="14" t="s">
        <v>149</v>
      </c>
      <c r="C9" s="14" t="s">
        <v>150</v>
      </c>
      <c r="D9" s="13" t="s">
        <v>62</v>
      </c>
      <c r="E9" s="14" t="s">
        <v>151</v>
      </c>
      <c r="F9" s="14" t="s">
        <v>92</v>
      </c>
      <c r="G9" s="14" t="s">
        <v>152</v>
      </c>
      <c r="H9" s="15" t="s">
        <v>64</v>
      </c>
      <c r="I9" s="15" t="s">
        <v>65</v>
      </c>
      <c r="J9" s="15" t="s">
        <v>66</v>
      </c>
      <c r="K9" s="14" t="s">
        <v>153</v>
      </c>
      <c r="L9" s="14" t="s">
        <v>154</v>
      </c>
      <c r="M9" s="13" t="s">
        <v>127</v>
      </c>
      <c r="N9" s="13" t="str">
        <f>IF(ISNUMBER(MATCH(LEFT(F9,11),'System Requirements'!$A$5:$A$15,0)),"OK","MISSING")</f>
        <v>OK</v>
      </c>
      <c r="O9" s="14"/>
    </row>
    <row r="10" spans="1:15" ht="26.4" hidden="1" x14ac:dyDescent="0.3">
      <c r="A10" s="16" t="s">
        <v>155</v>
      </c>
      <c r="B10" s="17" t="s">
        <v>156</v>
      </c>
      <c r="C10" s="17" t="s">
        <v>157</v>
      </c>
      <c r="D10" s="16" t="s">
        <v>62</v>
      </c>
      <c r="E10" s="17" t="s">
        <v>131</v>
      </c>
      <c r="F10" s="17" t="s">
        <v>92</v>
      </c>
      <c r="G10" s="17" t="s">
        <v>158</v>
      </c>
      <c r="H10" s="15" t="s">
        <v>139</v>
      </c>
      <c r="I10" s="15" t="s">
        <v>65</v>
      </c>
      <c r="J10" s="15" t="s">
        <v>66</v>
      </c>
      <c r="K10" s="17" t="s">
        <v>159</v>
      </c>
      <c r="L10" s="17" t="s">
        <v>160</v>
      </c>
      <c r="M10" s="16" t="s">
        <v>127</v>
      </c>
      <c r="N10" s="16" t="str">
        <f>IF(ISNUMBER(MATCH(LEFT(F10,11),'System Requirements'!$A$5:$A$15,0)),"OK","MISSING")</f>
        <v>OK</v>
      </c>
      <c r="O10" s="17"/>
    </row>
    <row r="11" spans="1:15" ht="39.6" x14ac:dyDescent="0.3">
      <c r="A11" s="13" t="s">
        <v>161</v>
      </c>
      <c r="B11" s="14" t="s">
        <v>162</v>
      </c>
      <c r="C11" s="14" t="s">
        <v>163</v>
      </c>
      <c r="D11" s="13" t="s">
        <v>62</v>
      </c>
      <c r="E11" s="14" t="s">
        <v>164</v>
      </c>
      <c r="F11" s="14" t="s">
        <v>59</v>
      </c>
      <c r="G11" s="14" t="s">
        <v>165</v>
      </c>
      <c r="H11" s="15" t="s">
        <v>64</v>
      </c>
      <c r="I11" s="15" t="s">
        <v>65</v>
      </c>
      <c r="J11" s="15" t="s">
        <v>66</v>
      </c>
      <c r="K11" s="14" t="s">
        <v>166</v>
      </c>
      <c r="L11" s="14" t="s">
        <v>167</v>
      </c>
      <c r="M11" s="13" t="s">
        <v>127</v>
      </c>
      <c r="N11" s="13" t="str">
        <f>IF(ISNUMBER(MATCH(LEFT(F11,11),'System Requirements'!$A$5:$A$15,0)),"OK","MISSING")</f>
        <v>OK</v>
      </c>
      <c r="O11" s="14"/>
    </row>
    <row r="12" spans="1:15" ht="26.4" x14ac:dyDescent="0.3">
      <c r="A12" s="16" t="s">
        <v>168</v>
      </c>
      <c r="B12" s="17" t="s">
        <v>169</v>
      </c>
      <c r="C12" s="17" t="s">
        <v>170</v>
      </c>
      <c r="D12" s="16" t="s">
        <v>62</v>
      </c>
      <c r="E12" s="17" t="s">
        <v>164</v>
      </c>
      <c r="F12" s="17" t="s">
        <v>59</v>
      </c>
      <c r="G12" s="17" t="s">
        <v>171</v>
      </c>
      <c r="H12" s="15" t="s">
        <v>64</v>
      </c>
      <c r="I12" s="15" t="s">
        <v>65</v>
      </c>
      <c r="J12" s="15" t="s">
        <v>66</v>
      </c>
      <c r="K12" s="17" t="s">
        <v>172</v>
      </c>
      <c r="L12" s="17" t="s">
        <v>167</v>
      </c>
      <c r="M12" s="16" t="s">
        <v>127</v>
      </c>
      <c r="N12" s="16" t="str">
        <f>IF(ISNUMBER(MATCH(LEFT(F12,11),'System Requirements'!$A$5:$A$15,0)),"OK","MISSING")</f>
        <v>OK</v>
      </c>
      <c r="O12" s="17"/>
    </row>
    <row r="13" spans="1:15" ht="26.4" x14ac:dyDescent="0.3">
      <c r="A13" s="13" t="s">
        <v>173</v>
      </c>
      <c r="B13" s="14" t="s">
        <v>174</v>
      </c>
      <c r="C13" s="14" t="s">
        <v>175</v>
      </c>
      <c r="D13" s="13" t="s">
        <v>62</v>
      </c>
      <c r="E13" s="14" t="s">
        <v>164</v>
      </c>
      <c r="F13" s="14" t="s">
        <v>59</v>
      </c>
      <c r="G13" s="14" t="s">
        <v>176</v>
      </c>
      <c r="H13" s="15" t="s">
        <v>64</v>
      </c>
      <c r="I13" s="15" t="s">
        <v>65</v>
      </c>
      <c r="J13" s="15" t="s">
        <v>66</v>
      </c>
      <c r="K13" s="14" t="s">
        <v>177</v>
      </c>
      <c r="L13" s="14" t="s">
        <v>167</v>
      </c>
      <c r="M13" s="13" t="s">
        <v>127</v>
      </c>
      <c r="N13" s="13" t="str">
        <f>IF(ISNUMBER(MATCH(LEFT(F13,11),'System Requirements'!$A$5:$A$15,0)),"OK","MISSING")</f>
        <v>OK</v>
      </c>
      <c r="O13" s="14"/>
    </row>
    <row r="14" spans="1:15" ht="39.6" x14ac:dyDescent="0.3">
      <c r="A14" s="16" t="s">
        <v>178</v>
      </c>
      <c r="B14" s="17" t="s">
        <v>179</v>
      </c>
      <c r="C14" s="23" t="s">
        <v>180</v>
      </c>
      <c r="D14" s="16" t="s">
        <v>62</v>
      </c>
      <c r="E14" s="17" t="s">
        <v>164</v>
      </c>
      <c r="F14" s="17" t="s">
        <v>181</v>
      </c>
      <c r="G14" s="17" t="s">
        <v>182</v>
      </c>
      <c r="H14" s="15" t="s">
        <v>64</v>
      </c>
      <c r="I14" s="15" t="s">
        <v>65</v>
      </c>
      <c r="J14" s="15" t="s">
        <v>66</v>
      </c>
      <c r="K14" s="17" t="s">
        <v>183</v>
      </c>
      <c r="L14" s="17" t="s">
        <v>154</v>
      </c>
      <c r="M14" s="16" t="s">
        <v>127</v>
      </c>
      <c r="N14" s="16" t="str">
        <f>IF(ISNUMBER(MATCH(LEFT(F14,11),'System Requirements'!$A$5:$A$15,0)),"OK","MISSING")</f>
        <v>OK</v>
      </c>
      <c r="O14" s="17"/>
    </row>
    <row r="15" spans="1:15" ht="26.4" x14ac:dyDescent="0.3">
      <c r="A15" s="13" t="s">
        <v>184</v>
      </c>
      <c r="B15" s="14" t="s">
        <v>185</v>
      </c>
      <c r="C15" s="14" t="s">
        <v>186</v>
      </c>
      <c r="D15" s="13" t="s">
        <v>62</v>
      </c>
      <c r="E15" s="14" t="s">
        <v>164</v>
      </c>
      <c r="F15" s="14" t="s">
        <v>88</v>
      </c>
      <c r="G15" s="14" t="s">
        <v>187</v>
      </c>
      <c r="H15" s="15" t="s">
        <v>64</v>
      </c>
      <c r="I15" s="15" t="s">
        <v>65</v>
      </c>
      <c r="J15" s="15" t="s">
        <v>66</v>
      </c>
      <c r="K15" s="14" t="s">
        <v>188</v>
      </c>
      <c r="L15" s="14" t="s">
        <v>189</v>
      </c>
      <c r="M15" s="13" t="s">
        <v>127</v>
      </c>
      <c r="N15" s="13" t="str">
        <f>IF(ISNUMBER(MATCH(LEFT(F15,11),'System Requirements'!$A$5:$A$15,0)),"OK","MISSING")</f>
        <v>OK</v>
      </c>
      <c r="O15" s="14"/>
    </row>
    <row r="16" spans="1:15" ht="39.6" x14ac:dyDescent="0.3">
      <c r="A16" s="16" t="s">
        <v>190</v>
      </c>
      <c r="B16" s="17" t="s">
        <v>191</v>
      </c>
      <c r="C16" s="17" t="s">
        <v>192</v>
      </c>
      <c r="D16" s="16" t="s">
        <v>62</v>
      </c>
      <c r="E16" s="17" t="s">
        <v>164</v>
      </c>
      <c r="F16" s="17" t="s">
        <v>88</v>
      </c>
      <c r="G16" s="17" t="s">
        <v>193</v>
      </c>
      <c r="H16" s="15" t="s">
        <v>64</v>
      </c>
      <c r="I16" s="15" t="s">
        <v>65</v>
      </c>
      <c r="J16" s="15" t="s">
        <v>66</v>
      </c>
      <c r="K16" s="17" t="s">
        <v>194</v>
      </c>
      <c r="L16" s="17" t="s">
        <v>195</v>
      </c>
      <c r="M16" s="16" t="s">
        <v>127</v>
      </c>
      <c r="N16" s="16" t="str">
        <f>IF(ISNUMBER(MATCH(LEFT(F16,11),'System Requirements'!$A$5:$A$15,0)),"OK","MISSING")</f>
        <v>OK</v>
      </c>
      <c r="O16" s="17"/>
    </row>
    <row r="17" spans="1:15" ht="52.8" x14ac:dyDescent="0.3">
      <c r="A17" s="13" t="s">
        <v>196</v>
      </c>
      <c r="B17" s="14" t="s">
        <v>197</v>
      </c>
      <c r="C17" s="14" t="s">
        <v>198</v>
      </c>
      <c r="D17" s="13" t="s">
        <v>62</v>
      </c>
      <c r="E17" s="14" t="s">
        <v>164</v>
      </c>
      <c r="F17" s="14" t="s">
        <v>67</v>
      </c>
      <c r="G17" s="14" t="s">
        <v>70</v>
      </c>
      <c r="H17" s="15" t="s">
        <v>64</v>
      </c>
      <c r="I17" s="15" t="s">
        <v>65</v>
      </c>
      <c r="J17" s="15" t="s">
        <v>66</v>
      </c>
      <c r="K17" s="14" t="s">
        <v>199</v>
      </c>
      <c r="L17" s="14" t="s">
        <v>200</v>
      </c>
      <c r="M17" s="13" t="s">
        <v>127</v>
      </c>
      <c r="N17" s="13" t="str">
        <f>IF(ISNUMBER(MATCH(LEFT(F17,11),'System Requirements'!$A$5:$A$15,0)),"OK","MISSING")</f>
        <v>OK</v>
      </c>
      <c r="O17" s="14"/>
    </row>
    <row r="18" spans="1:15" ht="39.6" x14ac:dyDescent="0.3">
      <c r="A18" s="16" t="s">
        <v>201</v>
      </c>
      <c r="B18" s="17" t="s">
        <v>202</v>
      </c>
      <c r="C18" s="17" t="s">
        <v>203</v>
      </c>
      <c r="D18" s="16" t="s">
        <v>62</v>
      </c>
      <c r="E18" s="17" t="s">
        <v>164</v>
      </c>
      <c r="F18" s="17" t="s">
        <v>71</v>
      </c>
      <c r="G18" s="17" t="s">
        <v>204</v>
      </c>
      <c r="H18" s="15" t="s">
        <v>64</v>
      </c>
      <c r="I18" s="15" t="s">
        <v>65</v>
      </c>
      <c r="J18" s="15" t="s">
        <v>66</v>
      </c>
      <c r="K18" s="17" t="s">
        <v>205</v>
      </c>
      <c r="L18" s="17" t="s">
        <v>200</v>
      </c>
      <c r="M18" s="16" t="s">
        <v>127</v>
      </c>
      <c r="N18" s="16" t="str">
        <f>IF(ISNUMBER(MATCH(LEFT(F18,11),'System Requirements'!$A$5:$A$15,0)),"OK","MISSING")</f>
        <v>OK</v>
      </c>
      <c r="O18" s="17"/>
    </row>
    <row r="19" spans="1:15" ht="39.6" x14ac:dyDescent="0.3">
      <c r="A19" s="13" t="s">
        <v>206</v>
      </c>
      <c r="B19" s="14" t="s">
        <v>207</v>
      </c>
      <c r="C19" s="14" t="s">
        <v>208</v>
      </c>
      <c r="D19" s="13" t="s">
        <v>78</v>
      </c>
      <c r="E19" s="14" t="s">
        <v>164</v>
      </c>
      <c r="F19" s="14" t="s">
        <v>209</v>
      </c>
      <c r="G19" s="14" t="s">
        <v>210</v>
      </c>
      <c r="H19" s="15" t="s">
        <v>64</v>
      </c>
      <c r="I19" s="15" t="s">
        <v>65</v>
      </c>
      <c r="J19" s="15" t="s">
        <v>66</v>
      </c>
      <c r="K19" s="14" t="s">
        <v>211</v>
      </c>
      <c r="L19" s="14" t="s">
        <v>212</v>
      </c>
      <c r="M19" s="13" t="s">
        <v>127</v>
      </c>
      <c r="N19" s="13" t="str">
        <f>IF(ISNUMBER(MATCH(LEFT(F19,11),'System Requirements'!$A$5:$A$15,0)),"OK","MISSING")</f>
        <v>OK</v>
      </c>
      <c r="O19" s="14"/>
    </row>
    <row r="20" spans="1:15" ht="26.4" x14ac:dyDescent="0.3">
      <c r="A20" s="16" t="s">
        <v>213</v>
      </c>
      <c r="B20" s="17" t="s">
        <v>214</v>
      </c>
      <c r="C20" s="17" t="s">
        <v>215</v>
      </c>
      <c r="D20" s="16" t="s">
        <v>78</v>
      </c>
      <c r="E20" s="17" t="s">
        <v>164</v>
      </c>
      <c r="F20" s="17" t="s">
        <v>75</v>
      </c>
      <c r="G20" s="17" t="s">
        <v>216</v>
      </c>
      <c r="H20" s="15" t="s">
        <v>64</v>
      </c>
      <c r="I20" s="15" t="s">
        <v>65</v>
      </c>
      <c r="J20" s="15" t="s">
        <v>66</v>
      </c>
      <c r="K20" s="17" t="s">
        <v>217</v>
      </c>
      <c r="L20" s="17" t="s">
        <v>212</v>
      </c>
      <c r="M20" s="16" t="s">
        <v>127</v>
      </c>
      <c r="N20" s="16" t="str">
        <f>IF(ISNUMBER(MATCH(LEFT(F20,11),'System Requirements'!$A$5:$A$15,0)),"OK","MISSING")</f>
        <v>OK</v>
      </c>
      <c r="O20" s="17"/>
    </row>
    <row r="21" spans="1:15" ht="26.4" x14ac:dyDescent="0.3">
      <c r="A21" s="13" t="s">
        <v>218</v>
      </c>
      <c r="B21" s="14" t="s">
        <v>219</v>
      </c>
      <c r="C21" s="14" t="s">
        <v>220</v>
      </c>
      <c r="D21" s="13" t="s">
        <v>62</v>
      </c>
      <c r="E21" s="14" t="s">
        <v>164</v>
      </c>
      <c r="F21" s="14" t="s">
        <v>221</v>
      </c>
      <c r="G21" s="14" t="s">
        <v>222</v>
      </c>
      <c r="H21" s="15" t="s">
        <v>64</v>
      </c>
      <c r="I21" s="15" t="s">
        <v>65</v>
      </c>
      <c r="J21" s="15" t="s">
        <v>66</v>
      </c>
      <c r="K21" s="14" t="s">
        <v>223</v>
      </c>
      <c r="L21" s="14" t="s">
        <v>200</v>
      </c>
      <c r="M21" s="13" t="s">
        <v>127</v>
      </c>
      <c r="N21" s="13" t="str">
        <f>IF(ISNUMBER(MATCH(LEFT(F21,11),'System Requirements'!$A$5:$A$15,0)),"OK","MISSING")</f>
        <v>OK</v>
      </c>
      <c r="O21" s="14"/>
    </row>
    <row r="22" spans="1:15" ht="26.4" x14ac:dyDescent="0.3">
      <c r="A22" s="16" t="s">
        <v>224</v>
      </c>
      <c r="B22" s="17" t="s">
        <v>225</v>
      </c>
      <c r="C22" s="17" t="s">
        <v>226</v>
      </c>
      <c r="D22" s="16" t="s">
        <v>62</v>
      </c>
      <c r="E22" s="17" t="s">
        <v>164</v>
      </c>
      <c r="F22" s="17" t="s">
        <v>88</v>
      </c>
      <c r="G22" s="17" t="s">
        <v>227</v>
      </c>
      <c r="H22" s="15" t="s">
        <v>139</v>
      </c>
      <c r="I22" s="15" t="s">
        <v>65</v>
      </c>
      <c r="J22" s="15" t="s">
        <v>228</v>
      </c>
      <c r="K22" s="17" t="s">
        <v>229</v>
      </c>
      <c r="L22" s="17" t="s">
        <v>230</v>
      </c>
      <c r="M22" s="16" t="s">
        <v>127</v>
      </c>
      <c r="N22" s="16" t="str">
        <f>IF(ISNUMBER(MATCH(LEFT(F22,11),'System Requirements'!$A$5:$A$15,0)),"OK","MISSING")</f>
        <v>OK</v>
      </c>
      <c r="O22" s="17"/>
    </row>
    <row r="23" spans="1:15" ht="39.6" hidden="1" x14ac:dyDescent="0.3">
      <c r="A23" s="13" t="s">
        <v>231</v>
      </c>
      <c r="B23" s="14" t="s">
        <v>232</v>
      </c>
      <c r="C23" s="14" t="s">
        <v>233</v>
      </c>
      <c r="D23" s="13" t="s">
        <v>62</v>
      </c>
      <c r="E23" s="14" t="s">
        <v>234</v>
      </c>
      <c r="F23" s="14" t="s">
        <v>80</v>
      </c>
      <c r="G23" s="14" t="s">
        <v>235</v>
      </c>
      <c r="H23" s="15" t="s">
        <v>64</v>
      </c>
      <c r="I23" s="15" t="s">
        <v>65</v>
      </c>
      <c r="J23" s="15" t="s">
        <v>66</v>
      </c>
      <c r="K23" s="14" t="s">
        <v>236</v>
      </c>
      <c r="L23" s="14" t="s">
        <v>237</v>
      </c>
      <c r="M23" s="13" t="s">
        <v>127</v>
      </c>
      <c r="N23" s="13" t="str">
        <f>IF(ISNUMBER(MATCH(LEFT(F23,11),'System Requirements'!$A$5:$A$15,0)),"OK","MISSING")</f>
        <v>OK</v>
      </c>
      <c r="O23" s="14"/>
    </row>
    <row r="24" spans="1:15" ht="52.8" hidden="1" x14ac:dyDescent="0.3">
      <c r="A24" s="16" t="s">
        <v>238</v>
      </c>
      <c r="B24" s="17" t="s">
        <v>239</v>
      </c>
      <c r="C24" s="17" t="s">
        <v>240</v>
      </c>
      <c r="D24" s="16" t="s">
        <v>62</v>
      </c>
      <c r="E24" s="17" t="s">
        <v>234</v>
      </c>
      <c r="F24" s="17" t="s">
        <v>241</v>
      </c>
      <c r="G24" s="17" t="s">
        <v>242</v>
      </c>
      <c r="H24" s="15" t="s">
        <v>64</v>
      </c>
      <c r="I24" s="15" t="s">
        <v>65</v>
      </c>
      <c r="J24" s="15" t="s">
        <v>66</v>
      </c>
      <c r="K24" s="17" t="s">
        <v>243</v>
      </c>
      <c r="L24" s="17" t="s">
        <v>195</v>
      </c>
      <c r="M24" s="16" t="s">
        <v>127</v>
      </c>
      <c r="N24" s="16" t="str">
        <f>IF(ISNUMBER(MATCH(LEFT(F24,11),'System Requirements'!$A$5:$A$15,0)),"OK","MISSING")</f>
        <v>OK</v>
      </c>
      <c r="O24" s="17"/>
    </row>
    <row r="25" spans="1:15" ht="66" hidden="1" x14ac:dyDescent="0.3">
      <c r="A25" s="13" t="s">
        <v>244</v>
      </c>
      <c r="B25" s="14" t="s">
        <v>245</v>
      </c>
      <c r="C25" s="14" t="s">
        <v>246</v>
      </c>
      <c r="D25" s="13" t="s">
        <v>62</v>
      </c>
      <c r="E25" s="14" t="s">
        <v>234</v>
      </c>
      <c r="F25" s="14" t="s">
        <v>80</v>
      </c>
      <c r="G25" s="14" t="s">
        <v>247</v>
      </c>
      <c r="H25" s="15" t="s">
        <v>64</v>
      </c>
      <c r="I25" s="15" t="s">
        <v>65</v>
      </c>
      <c r="J25" s="15" t="s">
        <v>66</v>
      </c>
      <c r="K25" s="14" t="s">
        <v>248</v>
      </c>
      <c r="L25" s="14" t="s">
        <v>195</v>
      </c>
      <c r="M25" s="13" t="s">
        <v>127</v>
      </c>
      <c r="N25" s="13" t="str">
        <f>IF(ISNUMBER(MATCH(LEFT(F25,11),'System Requirements'!$A$5:$A$15,0)),"OK","MISSING")</f>
        <v>OK</v>
      </c>
      <c r="O25" s="14"/>
    </row>
    <row r="26" spans="1:15" ht="26.4" hidden="1" x14ac:dyDescent="0.3">
      <c r="A26" s="16" t="s">
        <v>249</v>
      </c>
      <c r="B26" s="17" t="s">
        <v>250</v>
      </c>
      <c r="C26" s="17" t="s">
        <v>251</v>
      </c>
      <c r="D26" s="16" t="s">
        <v>62</v>
      </c>
      <c r="E26" s="17" t="s">
        <v>252</v>
      </c>
      <c r="F26" s="17" t="s">
        <v>80</v>
      </c>
      <c r="G26" s="17" t="s">
        <v>253</v>
      </c>
      <c r="H26" s="15" t="s">
        <v>64</v>
      </c>
      <c r="I26" s="15" t="s">
        <v>65</v>
      </c>
      <c r="J26" s="15" t="s">
        <v>66</v>
      </c>
      <c r="K26" s="17" t="s">
        <v>254</v>
      </c>
      <c r="L26" s="17" t="s">
        <v>195</v>
      </c>
      <c r="M26" s="16" t="s">
        <v>127</v>
      </c>
      <c r="N26" s="16" t="str">
        <f>IF(ISNUMBER(MATCH(LEFT(F26,11),'System Requirements'!$A$5:$A$15,0)),"OK","MISSING")</f>
        <v>OK</v>
      </c>
      <c r="O26" s="17"/>
    </row>
    <row r="27" spans="1:15" ht="52.8" hidden="1" x14ac:dyDescent="0.3">
      <c r="A27" s="13" t="s">
        <v>255</v>
      </c>
      <c r="B27" s="14" t="s">
        <v>256</v>
      </c>
      <c r="C27" s="14" t="s">
        <v>257</v>
      </c>
      <c r="D27" s="13" t="s">
        <v>62</v>
      </c>
      <c r="E27" s="14" t="s">
        <v>234</v>
      </c>
      <c r="F27" s="14" t="s">
        <v>84</v>
      </c>
      <c r="G27" s="14" t="s">
        <v>258</v>
      </c>
      <c r="H27" s="15" t="s">
        <v>64</v>
      </c>
      <c r="I27" s="15" t="s">
        <v>65</v>
      </c>
      <c r="J27" s="15" t="s">
        <v>66</v>
      </c>
      <c r="K27" s="14" t="s">
        <v>259</v>
      </c>
      <c r="L27" s="14" t="s">
        <v>260</v>
      </c>
      <c r="M27" s="13" t="s">
        <v>127</v>
      </c>
      <c r="N27" s="13" t="str">
        <f>IF(ISNUMBER(MATCH(LEFT(F27,11),'System Requirements'!$A$5:$A$15,0)),"OK","MISSING")</f>
        <v>OK</v>
      </c>
      <c r="O27" s="14"/>
    </row>
    <row r="28" spans="1:15" ht="39.6" hidden="1" x14ac:dyDescent="0.3">
      <c r="A28" s="16" t="s">
        <v>261</v>
      </c>
      <c r="B28" s="17" t="s">
        <v>262</v>
      </c>
      <c r="C28" s="17" t="s">
        <v>263</v>
      </c>
      <c r="D28" s="16" t="s">
        <v>62</v>
      </c>
      <c r="E28" s="17" t="s">
        <v>234</v>
      </c>
      <c r="F28" s="17" t="s">
        <v>80</v>
      </c>
      <c r="G28" s="17" t="s">
        <v>264</v>
      </c>
      <c r="H28" s="15" t="s">
        <v>139</v>
      </c>
      <c r="I28" s="15" t="s">
        <v>65</v>
      </c>
      <c r="J28" s="15" t="s">
        <v>66</v>
      </c>
      <c r="K28" s="17" t="s">
        <v>265</v>
      </c>
      <c r="L28" s="17" t="s">
        <v>195</v>
      </c>
      <c r="M28" s="16" t="s">
        <v>127</v>
      </c>
      <c r="N28" s="16" t="str">
        <f>IF(ISNUMBER(MATCH(LEFT(F28,11),'System Requirements'!$A$5:$A$15,0)),"OK","MISSING")</f>
        <v>OK</v>
      </c>
      <c r="O28" s="17"/>
    </row>
    <row r="29" spans="1:15" ht="39.6" hidden="1" x14ac:dyDescent="0.3">
      <c r="A29" s="13" t="s">
        <v>266</v>
      </c>
      <c r="B29" s="14" t="s">
        <v>267</v>
      </c>
      <c r="C29" s="14" t="s">
        <v>268</v>
      </c>
      <c r="D29" s="13" t="s">
        <v>104</v>
      </c>
      <c r="E29" s="14" t="s">
        <v>269</v>
      </c>
      <c r="F29" s="14" t="s">
        <v>270</v>
      </c>
      <c r="G29" s="14" t="s">
        <v>271</v>
      </c>
      <c r="H29" s="15" t="s">
        <v>64</v>
      </c>
      <c r="I29" s="15" t="s">
        <v>65</v>
      </c>
      <c r="J29" s="15" t="s">
        <v>228</v>
      </c>
      <c r="K29" s="14" t="s">
        <v>272</v>
      </c>
      <c r="L29" s="14" t="s">
        <v>273</v>
      </c>
      <c r="M29" s="13" t="s">
        <v>127</v>
      </c>
      <c r="N29" s="13" t="str">
        <f>IF(ISNUMBER(MATCH(LEFT(F29,11),'System Requirements'!$A$5:$A$15,0)),"OK","MISSING")</f>
        <v>OK</v>
      </c>
      <c r="O29" s="14"/>
    </row>
    <row r="30" spans="1:15" ht="26.4" hidden="1" x14ac:dyDescent="0.3">
      <c r="A30" s="16" t="s">
        <v>274</v>
      </c>
      <c r="B30" s="17" t="s">
        <v>275</v>
      </c>
      <c r="C30" s="17" t="s">
        <v>276</v>
      </c>
      <c r="D30" s="16" t="s">
        <v>104</v>
      </c>
      <c r="E30" s="17" t="s">
        <v>277</v>
      </c>
      <c r="F30" s="17" t="s">
        <v>92</v>
      </c>
      <c r="G30" s="17" t="s">
        <v>278</v>
      </c>
      <c r="H30" s="15" t="s">
        <v>64</v>
      </c>
      <c r="I30" s="15" t="s">
        <v>65</v>
      </c>
      <c r="J30" s="15" t="s">
        <v>66</v>
      </c>
      <c r="K30" s="17" t="s">
        <v>279</v>
      </c>
      <c r="L30" s="17" t="s">
        <v>280</v>
      </c>
      <c r="M30" s="16" t="s">
        <v>127</v>
      </c>
      <c r="N30" s="16" t="str">
        <f>IF(ISNUMBER(MATCH(LEFT(F30,11),'System Requirements'!$A$5:$A$15,0)),"OK","MISSING")</f>
        <v>OK</v>
      </c>
      <c r="O30" s="17"/>
    </row>
    <row r="31" spans="1:15" ht="26.4" hidden="1" x14ac:dyDescent="0.3">
      <c r="A31" s="13" t="s">
        <v>281</v>
      </c>
      <c r="B31" s="14" t="s">
        <v>282</v>
      </c>
      <c r="C31" s="14" t="s">
        <v>283</v>
      </c>
      <c r="D31" s="13" t="s">
        <v>284</v>
      </c>
      <c r="E31" s="14" t="s">
        <v>285</v>
      </c>
      <c r="F31" s="14" t="s">
        <v>80</v>
      </c>
      <c r="G31" s="14" t="s">
        <v>286</v>
      </c>
      <c r="H31" s="15" t="s">
        <v>64</v>
      </c>
      <c r="I31" s="15" t="s">
        <v>65</v>
      </c>
      <c r="J31" s="15" t="s">
        <v>287</v>
      </c>
      <c r="K31" s="14" t="s">
        <v>288</v>
      </c>
      <c r="L31" s="14" t="s">
        <v>230</v>
      </c>
      <c r="M31" s="13" t="s">
        <v>127</v>
      </c>
      <c r="N31" s="13" t="str">
        <f>IF(ISNUMBER(MATCH(LEFT(F31,11),'System Requirements'!$A$5:$A$15,0)),"OK","MISSING")</f>
        <v>OK</v>
      </c>
      <c r="O31" s="14"/>
    </row>
    <row r="32" spans="1:15" ht="39.6" hidden="1" x14ac:dyDescent="0.3">
      <c r="A32" s="16" t="s">
        <v>289</v>
      </c>
      <c r="B32" s="17" t="s">
        <v>290</v>
      </c>
      <c r="C32" s="17" t="s">
        <v>291</v>
      </c>
      <c r="D32" s="16" t="s">
        <v>62</v>
      </c>
      <c r="E32" s="17" t="s">
        <v>252</v>
      </c>
      <c r="F32" s="17" t="s">
        <v>97</v>
      </c>
      <c r="G32" s="17" t="s">
        <v>292</v>
      </c>
      <c r="H32" s="15" t="s">
        <v>293</v>
      </c>
      <c r="I32" s="15" t="s">
        <v>65</v>
      </c>
      <c r="J32" s="15" t="s">
        <v>294</v>
      </c>
      <c r="K32" s="17" t="s">
        <v>295</v>
      </c>
      <c r="L32" s="17" t="s">
        <v>296</v>
      </c>
      <c r="M32" s="16" t="s">
        <v>127</v>
      </c>
      <c r="N32" s="16" t="str">
        <f>IF(ISNUMBER(MATCH(LEFT(F32,11),'System Requirements'!$A$5:$A$15,0)),"OK","MISSING")</f>
        <v>OK</v>
      </c>
      <c r="O32" s="17"/>
    </row>
    <row r="33" spans="1:15" ht="26.4" hidden="1" x14ac:dyDescent="0.3">
      <c r="A33" s="13" t="s">
        <v>297</v>
      </c>
      <c r="B33" s="14" t="s">
        <v>298</v>
      </c>
      <c r="C33" s="14" t="s">
        <v>299</v>
      </c>
      <c r="D33" s="13" t="s">
        <v>284</v>
      </c>
      <c r="E33" s="14" t="s">
        <v>300</v>
      </c>
      <c r="F33" s="14" t="s">
        <v>92</v>
      </c>
      <c r="G33" s="14" t="s">
        <v>301</v>
      </c>
      <c r="H33" s="15" t="s">
        <v>293</v>
      </c>
      <c r="I33" s="15" t="s">
        <v>65</v>
      </c>
      <c r="J33" s="15" t="s">
        <v>287</v>
      </c>
      <c r="K33" s="14" t="s">
        <v>302</v>
      </c>
      <c r="L33" s="14" t="s">
        <v>230</v>
      </c>
      <c r="M33" s="13" t="s">
        <v>127</v>
      </c>
      <c r="N33" s="13" t="str">
        <f>IF(ISNUMBER(MATCH(LEFT(F33,11),'System Requirements'!$A$5:$A$15,0)),"OK","MISSING")</f>
        <v>OK</v>
      </c>
      <c r="O33" s="14"/>
    </row>
    <row r="34" spans="1:15" ht="39.6" hidden="1" x14ac:dyDescent="0.3">
      <c r="A34" s="16" t="s">
        <v>303</v>
      </c>
      <c r="B34" s="17" t="s">
        <v>304</v>
      </c>
      <c r="C34" s="17" t="s">
        <v>305</v>
      </c>
      <c r="D34" s="16" t="s">
        <v>62</v>
      </c>
      <c r="E34" s="17" t="s">
        <v>306</v>
      </c>
      <c r="F34" s="17" t="s">
        <v>59</v>
      </c>
      <c r="G34" s="17" t="s">
        <v>307</v>
      </c>
      <c r="H34" s="15" t="s">
        <v>64</v>
      </c>
      <c r="I34" s="15" t="s">
        <v>65</v>
      </c>
      <c r="J34" s="15" t="s">
        <v>66</v>
      </c>
      <c r="K34" s="17" t="s">
        <v>308</v>
      </c>
      <c r="L34" s="17" t="s">
        <v>154</v>
      </c>
      <c r="M34" s="16" t="s">
        <v>127</v>
      </c>
      <c r="N34" s="16" t="str">
        <f>IF(ISNUMBER(MATCH(LEFT(F34,11),'System Requirements'!$A$5:$A$15,0)),"OK","MISSING")</f>
        <v>OK</v>
      </c>
      <c r="O34" s="17"/>
    </row>
    <row r="35" spans="1:15" ht="26.4" hidden="1" x14ac:dyDescent="0.3">
      <c r="A35" s="13" t="s">
        <v>309</v>
      </c>
      <c r="B35" s="14" t="s">
        <v>310</v>
      </c>
      <c r="C35" s="14" t="s">
        <v>311</v>
      </c>
      <c r="D35" s="13" t="s">
        <v>62</v>
      </c>
      <c r="E35" s="14" t="s">
        <v>306</v>
      </c>
      <c r="F35" s="14" t="s">
        <v>67</v>
      </c>
      <c r="G35" s="14" t="s">
        <v>70</v>
      </c>
      <c r="H35" s="15" t="s">
        <v>64</v>
      </c>
      <c r="I35" s="15" t="s">
        <v>65</v>
      </c>
      <c r="J35" s="15" t="s">
        <v>66</v>
      </c>
      <c r="K35" s="14" t="s">
        <v>312</v>
      </c>
      <c r="L35" s="14" t="s">
        <v>200</v>
      </c>
      <c r="M35" s="13" t="s">
        <v>127</v>
      </c>
      <c r="N35" s="13" t="str">
        <f>IF(ISNUMBER(MATCH(LEFT(F35,11),'System Requirements'!$A$5:$A$15,0)),"OK","MISSING")</f>
        <v>OK</v>
      </c>
      <c r="O35" s="14"/>
    </row>
    <row r="36" spans="1:15" ht="39.6" hidden="1" x14ac:dyDescent="0.3">
      <c r="A36" s="16" t="s">
        <v>313</v>
      </c>
      <c r="B36" s="17" t="s">
        <v>314</v>
      </c>
      <c r="C36" s="17" t="s">
        <v>315</v>
      </c>
      <c r="D36" s="16" t="s">
        <v>62</v>
      </c>
      <c r="E36" s="17" t="s">
        <v>306</v>
      </c>
      <c r="F36" s="17" t="s">
        <v>75</v>
      </c>
      <c r="G36" s="17" t="s">
        <v>316</v>
      </c>
      <c r="H36" s="15" t="s">
        <v>64</v>
      </c>
      <c r="I36" s="15" t="s">
        <v>65</v>
      </c>
      <c r="J36" s="15" t="s">
        <v>66</v>
      </c>
      <c r="K36" s="17" t="s">
        <v>317</v>
      </c>
      <c r="L36" s="17" t="s">
        <v>212</v>
      </c>
      <c r="M36" s="16" t="s">
        <v>127</v>
      </c>
      <c r="N36" s="16" t="str">
        <f>IF(ISNUMBER(MATCH(LEFT(F36,11),'System Requirements'!$A$5:$A$15,0)),"OK","MISSING")</f>
        <v>OK</v>
      </c>
      <c r="O36" s="17"/>
    </row>
    <row r="37" spans="1:15" ht="39.6" hidden="1" x14ac:dyDescent="0.3">
      <c r="A37" s="13" t="s">
        <v>318</v>
      </c>
      <c r="B37" s="14" t="s">
        <v>319</v>
      </c>
      <c r="C37" s="14" t="s">
        <v>320</v>
      </c>
      <c r="D37" s="13" t="s">
        <v>62</v>
      </c>
      <c r="E37" s="14" t="s">
        <v>306</v>
      </c>
      <c r="F37" s="14" t="s">
        <v>321</v>
      </c>
      <c r="G37" s="14" t="s">
        <v>322</v>
      </c>
      <c r="H37" s="15" t="s">
        <v>64</v>
      </c>
      <c r="I37" s="15" t="s">
        <v>65</v>
      </c>
      <c r="J37" s="15" t="s">
        <v>66</v>
      </c>
      <c r="K37" s="14" t="s">
        <v>323</v>
      </c>
      <c r="L37" s="14" t="s">
        <v>324</v>
      </c>
      <c r="M37" s="13" t="s">
        <v>127</v>
      </c>
      <c r="N37" s="13" t="str">
        <f>IF(ISNUMBER(MATCH(LEFT(F37,11),'System Requirements'!$A$5:$A$15,0)),"OK","MISSING")</f>
        <v>OK</v>
      </c>
      <c r="O37" s="14"/>
    </row>
    <row r="38" spans="1:15" ht="26.4" hidden="1" x14ac:dyDescent="0.3">
      <c r="A38" s="16" t="s">
        <v>325</v>
      </c>
      <c r="B38" s="17" t="s">
        <v>326</v>
      </c>
      <c r="C38" s="17" t="s">
        <v>327</v>
      </c>
      <c r="D38" s="16" t="s">
        <v>62</v>
      </c>
      <c r="E38" s="17" t="s">
        <v>306</v>
      </c>
      <c r="F38" s="17" t="s">
        <v>88</v>
      </c>
      <c r="G38" s="17" t="s">
        <v>328</v>
      </c>
      <c r="H38" s="15" t="s">
        <v>139</v>
      </c>
      <c r="I38" s="15" t="s">
        <v>65</v>
      </c>
      <c r="J38" s="15" t="s">
        <v>66</v>
      </c>
      <c r="K38" s="17" t="s">
        <v>329</v>
      </c>
      <c r="L38" s="17" t="s">
        <v>330</v>
      </c>
      <c r="M38" s="16" t="s">
        <v>127</v>
      </c>
      <c r="N38" s="16" t="str">
        <f>IF(ISNUMBER(MATCH(LEFT(F38,11),'System Requirements'!$A$5:$A$15,0)),"OK","MISSING")</f>
        <v>OK</v>
      </c>
      <c r="O38" s="17"/>
    </row>
    <row r="39" spans="1:15" ht="39.6" hidden="1" x14ac:dyDescent="0.3">
      <c r="A39" s="13" t="s">
        <v>331</v>
      </c>
      <c r="B39" s="14" t="s">
        <v>332</v>
      </c>
      <c r="C39" s="14" t="s">
        <v>333</v>
      </c>
      <c r="D39" s="13" t="s">
        <v>62</v>
      </c>
      <c r="E39" s="14" t="s">
        <v>306</v>
      </c>
      <c r="F39" s="14" t="s">
        <v>88</v>
      </c>
      <c r="G39" s="14" t="s">
        <v>334</v>
      </c>
      <c r="H39" s="15" t="s">
        <v>293</v>
      </c>
      <c r="I39" s="15" t="s">
        <v>65</v>
      </c>
      <c r="J39" s="15" t="s">
        <v>66</v>
      </c>
      <c r="K39" s="14" t="s">
        <v>335</v>
      </c>
      <c r="L39" s="14" t="s">
        <v>336</v>
      </c>
      <c r="M39" s="13" t="s">
        <v>127</v>
      </c>
      <c r="N39" s="13" t="str">
        <f>IF(ISNUMBER(MATCH(LEFT(F39,11),'System Requirements'!$A$5:$A$15,0)),"OK","MISSING")</f>
        <v>OK</v>
      </c>
      <c r="O39" s="14"/>
    </row>
    <row r="40" spans="1:15" ht="26.4" hidden="1" x14ac:dyDescent="0.3">
      <c r="A40" s="16" t="s">
        <v>337</v>
      </c>
      <c r="B40" s="17" t="s">
        <v>338</v>
      </c>
      <c r="C40" s="17" t="s">
        <v>339</v>
      </c>
      <c r="D40" s="16" t="s">
        <v>62</v>
      </c>
      <c r="E40" s="17" t="s">
        <v>340</v>
      </c>
      <c r="F40" s="17" t="s">
        <v>92</v>
      </c>
      <c r="G40" s="17" t="s">
        <v>341</v>
      </c>
      <c r="H40" s="15" t="s">
        <v>64</v>
      </c>
      <c r="I40" s="15" t="s">
        <v>65</v>
      </c>
      <c r="J40" s="15" t="s">
        <v>66</v>
      </c>
      <c r="K40" s="17" t="s">
        <v>342</v>
      </c>
      <c r="L40" s="17" t="s">
        <v>343</v>
      </c>
      <c r="M40" s="16" t="s">
        <v>127</v>
      </c>
      <c r="N40" s="16" t="str">
        <f>IF(ISNUMBER(MATCH(LEFT(F40,11),'System Requirements'!$A$5:$A$15,0)),"OK","MISSING")</f>
        <v>OK</v>
      </c>
      <c r="O40" s="17"/>
    </row>
    <row r="41" spans="1:15" ht="26.4" hidden="1" x14ac:dyDescent="0.3">
      <c r="A41" s="13" t="s">
        <v>344</v>
      </c>
      <c r="B41" s="14" t="s">
        <v>345</v>
      </c>
      <c r="C41" s="14" t="s">
        <v>346</v>
      </c>
      <c r="D41" s="13" t="s">
        <v>62</v>
      </c>
      <c r="E41" s="14" t="s">
        <v>306</v>
      </c>
      <c r="F41" s="14" t="s">
        <v>75</v>
      </c>
      <c r="G41" s="14" t="s">
        <v>347</v>
      </c>
      <c r="H41" s="15" t="s">
        <v>139</v>
      </c>
      <c r="I41" s="15" t="s">
        <v>65</v>
      </c>
      <c r="J41" s="15" t="s">
        <v>66</v>
      </c>
      <c r="K41" s="14" t="s">
        <v>348</v>
      </c>
      <c r="L41" s="14" t="s">
        <v>141</v>
      </c>
      <c r="M41" s="13" t="s">
        <v>127</v>
      </c>
      <c r="N41" s="13" t="str">
        <f>IF(ISNUMBER(MATCH(LEFT(F41,11),'System Requirements'!$A$5:$A$15,0)),"OK","MISSING")</f>
        <v>OK</v>
      </c>
      <c r="O41" s="14"/>
    </row>
    <row r="42" spans="1:15" ht="26.4" hidden="1" x14ac:dyDescent="0.3">
      <c r="A42" s="16" t="s">
        <v>349</v>
      </c>
      <c r="B42" s="17" t="s">
        <v>350</v>
      </c>
      <c r="C42" s="17" t="s">
        <v>351</v>
      </c>
      <c r="D42" s="16" t="s">
        <v>62</v>
      </c>
      <c r="E42" s="17" t="s">
        <v>352</v>
      </c>
      <c r="F42" s="17" t="s">
        <v>106</v>
      </c>
      <c r="G42" s="17" t="s">
        <v>353</v>
      </c>
      <c r="H42" s="15" t="s">
        <v>293</v>
      </c>
      <c r="I42" s="15" t="s">
        <v>65</v>
      </c>
      <c r="J42" s="15" t="s">
        <v>66</v>
      </c>
      <c r="K42" s="17" t="s">
        <v>354</v>
      </c>
      <c r="L42" s="17" t="s">
        <v>336</v>
      </c>
      <c r="M42" s="16" t="s">
        <v>127</v>
      </c>
      <c r="N42" s="16" t="str">
        <f>IF(ISNUMBER(MATCH(LEFT(F42,11),'System Requirements'!$A$5:$A$15,0)),"OK","MISSING")</f>
        <v>OK</v>
      </c>
      <c r="O42" s="17"/>
    </row>
    <row r="43" spans="1:15" ht="66" x14ac:dyDescent="0.3">
      <c r="A43" s="13" t="s">
        <v>355</v>
      </c>
      <c r="B43" s="14" t="s">
        <v>356</v>
      </c>
      <c r="C43" s="14" t="s">
        <v>357</v>
      </c>
      <c r="D43" s="13" t="s">
        <v>62</v>
      </c>
      <c r="E43" s="14" t="s">
        <v>164</v>
      </c>
      <c r="F43" s="14" t="s">
        <v>358</v>
      </c>
      <c r="G43" s="14" t="s">
        <v>359</v>
      </c>
      <c r="H43" s="15" t="s">
        <v>64</v>
      </c>
      <c r="I43" s="15" t="s">
        <v>65</v>
      </c>
      <c r="J43" s="15" t="s">
        <v>66</v>
      </c>
      <c r="K43" s="14" t="s">
        <v>360</v>
      </c>
      <c r="L43" s="14" t="s">
        <v>361</v>
      </c>
      <c r="M43" s="13" t="s">
        <v>127</v>
      </c>
      <c r="N43" s="13" t="str">
        <f>IF(ISNUMBER(MATCH(LEFT(F43,11),'System Requirements'!$A$5:$A$15,0)),"OK","MISSING")</f>
        <v>OK</v>
      </c>
      <c r="O43" s="14"/>
    </row>
  </sheetData>
  <autoFilter ref="A4:O43" xr:uid="{00000000-0009-0000-0000-000002000000}">
    <filterColumn colId="4">
      <filters>
        <filter val="SWC-SYS"/>
      </filters>
    </filterColumn>
  </autoFilter>
  <conditionalFormatting sqref="N5:N43">
    <cfRule type="cellIs" dxfId="7" priority="1" operator="equal">
      <formula>"MISSING"</formula>
    </cfRule>
  </conditionalFormatting>
  <dataValidations count="4">
    <dataValidation type="list" allowBlank="1" errorTitle="Invalid value" error="Pick a value from the list" sqref="H5:H43" xr:uid="{00000000-0002-0000-0200-000000000000}">
      <formula1>"High,Medium,Low"</formula1>
    </dataValidation>
    <dataValidation type="list" allowBlank="1" errorTitle="Invalid value" error="Pick a value from the list" sqref="I5:I43" xr:uid="{00000000-0002-0000-0200-000001000000}">
      <formula1>"Draft,In review,Accepted,Rejected,Deferred"</formula1>
    </dataValidation>
    <dataValidation type="list" allowBlank="1" errorTitle="Invalid value" error="Pick a value from the list" sqref="J5:J43" xr:uid="{00000000-0002-0000-0200-000002000000}">
      <formula1>"Test,Analysis,Review,Inspection,Demonstration"</formula1>
    </dataValidation>
    <dataValidation type="list" allowBlank="1" sqref="D5:D43" xr:uid="{00000000-0002-0000-0200-000003000000}">
      <formula1>"Functional,Non-functional,Interface,Performance,Constraint"</formula1>
    </dataValidation>
  </dataValidations>
  <pageMargins left="0.75" right="0.75" top="1" bottom="1" header="0.5" footer="0.5"/>
  <pageSetup fitToHeight="0" orientation="landscape"/>
  <headerFooter>
    <oddFooter>&amp;LAPK6-SRS-001 v1.1&amp;RPage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pageSetUpPr fitToPage="1"/>
  </sheetPr>
  <dimension ref="A1:F35"/>
  <sheetViews>
    <sheetView showGridLines="0" workbookViewId="0"/>
  </sheetViews>
  <sheetFormatPr baseColWidth="10" defaultColWidth="8.88671875" defaultRowHeight="14.4" x14ac:dyDescent="0.3"/>
  <cols>
    <col min="1" max="1" width="10" customWidth="1"/>
    <col min="2" max="2" width="16" customWidth="1"/>
    <col min="3" max="4" width="34" customWidth="1"/>
    <col min="5" max="5" width="18" customWidth="1"/>
    <col min="6" max="6" width="20" customWidth="1"/>
  </cols>
  <sheetData>
    <row r="1" spans="1:6" ht="17.399999999999999" x14ac:dyDescent="0.3">
      <c r="A1" s="10" t="s">
        <v>362</v>
      </c>
    </row>
    <row r="2" spans="1:6" x14ac:dyDescent="0.3">
      <c r="A2" s="11" t="s">
        <v>363</v>
      </c>
    </row>
    <row r="4" spans="1:6" ht="15.6" x14ac:dyDescent="0.3">
      <c r="A4" s="5" t="s">
        <v>364</v>
      </c>
    </row>
    <row r="5" spans="1:6" x14ac:dyDescent="0.3">
      <c r="A5" s="12" t="s">
        <v>365</v>
      </c>
      <c r="B5" s="12" t="s">
        <v>366</v>
      </c>
      <c r="C5" s="12" t="s">
        <v>367</v>
      </c>
      <c r="D5" s="12" t="s">
        <v>368</v>
      </c>
      <c r="E5" s="12" t="s">
        <v>54</v>
      </c>
    </row>
    <row r="6" spans="1:6" x14ac:dyDescent="0.3">
      <c r="A6" s="14">
        <v>0</v>
      </c>
      <c r="B6" s="14" t="s">
        <v>369</v>
      </c>
      <c r="C6" s="14" t="s">
        <v>370</v>
      </c>
      <c r="D6" s="14" t="s">
        <v>370</v>
      </c>
      <c r="E6" s="14" t="s">
        <v>119</v>
      </c>
    </row>
    <row r="7" spans="1:6" ht="26.4" x14ac:dyDescent="0.3">
      <c r="A7" s="14">
        <v>1</v>
      </c>
      <c r="B7" s="14" t="s">
        <v>371</v>
      </c>
      <c r="C7" s="14" t="s">
        <v>372</v>
      </c>
      <c r="D7" s="14" t="s">
        <v>373</v>
      </c>
      <c r="E7" s="14" t="s">
        <v>337</v>
      </c>
    </row>
    <row r="8" spans="1:6" x14ac:dyDescent="0.3">
      <c r="A8" s="14">
        <v>2</v>
      </c>
      <c r="B8" s="14" t="s">
        <v>374</v>
      </c>
      <c r="C8" s="14" t="s">
        <v>375</v>
      </c>
      <c r="D8" s="14" t="s">
        <v>376</v>
      </c>
      <c r="E8" s="14" t="s">
        <v>337</v>
      </c>
    </row>
    <row r="10" spans="1:6" ht="15.6" x14ac:dyDescent="0.3">
      <c r="A10" s="5" t="s">
        <v>377</v>
      </c>
    </row>
    <row r="11" spans="1:6" x14ac:dyDescent="0.3">
      <c r="A11" s="12" t="s">
        <v>371</v>
      </c>
      <c r="B11" s="12" t="s">
        <v>378</v>
      </c>
      <c r="C11" s="12" t="s">
        <v>379</v>
      </c>
      <c r="D11" s="12" t="s">
        <v>380</v>
      </c>
      <c r="E11" s="12" t="s">
        <v>381</v>
      </c>
      <c r="F11" s="12" t="s">
        <v>54</v>
      </c>
    </row>
    <row r="12" spans="1:6" x14ac:dyDescent="0.3">
      <c r="A12" s="14" t="s">
        <v>382</v>
      </c>
      <c r="B12" s="14" t="s">
        <v>383</v>
      </c>
      <c r="C12" s="14" t="s">
        <v>384</v>
      </c>
      <c r="D12" s="14" t="s">
        <v>385</v>
      </c>
      <c r="E12" s="14" t="s">
        <v>384</v>
      </c>
      <c r="F12" s="14" t="s">
        <v>128</v>
      </c>
    </row>
    <row r="13" spans="1:6" x14ac:dyDescent="0.3">
      <c r="A13" s="14" t="s">
        <v>386</v>
      </c>
      <c r="B13" s="14" t="s">
        <v>162</v>
      </c>
      <c r="C13" s="14" t="s">
        <v>387</v>
      </c>
      <c r="D13" s="14" t="s">
        <v>388</v>
      </c>
      <c r="E13" s="14" t="s">
        <v>389</v>
      </c>
      <c r="F13" s="14" t="s">
        <v>161</v>
      </c>
    </row>
    <row r="14" spans="1:6" x14ac:dyDescent="0.3">
      <c r="A14" s="14" t="s">
        <v>390</v>
      </c>
      <c r="B14" s="14" t="s">
        <v>169</v>
      </c>
      <c r="C14" s="14" t="s">
        <v>391</v>
      </c>
      <c r="D14" s="14" t="s">
        <v>388</v>
      </c>
      <c r="E14" s="14" t="s">
        <v>389</v>
      </c>
      <c r="F14" s="14" t="s">
        <v>168</v>
      </c>
    </row>
    <row r="15" spans="1:6" x14ac:dyDescent="0.3">
      <c r="A15" s="14" t="s">
        <v>392</v>
      </c>
      <c r="B15" s="14" t="s">
        <v>174</v>
      </c>
      <c r="C15" s="14" t="s">
        <v>393</v>
      </c>
      <c r="D15" s="14" t="s">
        <v>388</v>
      </c>
      <c r="E15" s="14" t="s">
        <v>389</v>
      </c>
      <c r="F15" s="14" t="s">
        <v>173</v>
      </c>
    </row>
    <row r="16" spans="1:6" x14ac:dyDescent="0.3">
      <c r="A16" s="14" t="s">
        <v>394</v>
      </c>
      <c r="B16" s="14" t="s">
        <v>395</v>
      </c>
      <c r="C16" s="14" t="s">
        <v>396</v>
      </c>
      <c r="D16" s="14" t="s">
        <v>397</v>
      </c>
      <c r="E16" s="14" t="s">
        <v>398</v>
      </c>
      <c r="F16" s="14" t="s">
        <v>399</v>
      </c>
    </row>
    <row r="17" spans="1:6" ht="26.4" x14ac:dyDescent="0.3">
      <c r="A17" s="14" t="s">
        <v>400</v>
      </c>
      <c r="B17" s="14" t="s">
        <v>401</v>
      </c>
      <c r="C17" s="14" t="s">
        <v>396</v>
      </c>
      <c r="D17" s="14" t="s">
        <v>402</v>
      </c>
      <c r="E17" s="14" t="s">
        <v>384</v>
      </c>
      <c r="F17" s="14" t="s">
        <v>135</v>
      </c>
    </row>
    <row r="18" spans="1:6" x14ac:dyDescent="0.3">
      <c r="A18" s="14" t="s">
        <v>403</v>
      </c>
      <c r="B18" s="14" t="s">
        <v>404</v>
      </c>
      <c r="C18" s="14" t="s">
        <v>384</v>
      </c>
      <c r="D18" s="14" t="s">
        <v>405</v>
      </c>
      <c r="E18" s="14" t="s">
        <v>384</v>
      </c>
      <c r="F18" s="14" t="s">
        <v>155</v>
      </c>
    </row>
    <row r="20" spans="1:6" ht="15.6" x14ac:dyDescent="0.3">
      <c r="A20" s="5" t="s">
        <v>406</v>
      </c>
    </row>
    <row r="21" spans="1:6" x14ac:dyDescent="0.3">
      <c r="A21" s="12" t="s">
        <v>371</v>
      </c>
      <c r="B21" s="12" t="s">
        <v>378</v>
      </c>
      <c r="C21" s="12" t="s">
        <v>374</v>
      </c>
      <c r="D21" s="12" t="s">
        <v>407</v>
      </c>
      <c r="E21" s="12" t="s">
        <v>54</v>
      </c>
    </row>
    <row r="22" spans="1:6" x14ac:dyDescent="0.3">
      <c r="A22" s="14" t="s">
        <v>408</v>
      </c>
      <c r="B22" s="14" t="s">
        <v>409</v>
      </c>
      <c r="C22" s="14" t="s">
        <v>410</v>
      </c>
      <c r="D22" s="14" t="s">
        <v>411</v>
      </c>
      <c r="E22" s="14" t="s">
        <v>201</v>
      </c>
    </row>
    <row r="23" spans="1:6" x14ac:dyDescent="0.3">
      <c r="A23" s="14" t="s">
        <v>412</v>
      </c>
      <c r="B23" s="14" t="s">
        <v>413</v>
      </c>
      <c r="C23" s="14" t="s">
        <v>414</v>
      </c>
      <c r="D23" s="14" t="s">
        <v>415</v>
      </c>
      <c r="E23" s="14" t="s">
        <v>213</v>
      </c>
    </row>
    <row r="24" spans="1:6" x14ac:dyDescent="0.3">
      <c r="A24" s="14" t="s">
        <v>416</v>
      </c>
      <c r="B24" s="14" t="s">
        <v>417</v>
      </c>
      <c r="C24" s="14" t="s">
        <v>418</v>
      </c>
      <c r="D24" s="14" t="s">
        <v>419</v>
      </c>
      <c r="E24" s="14" t="s">
        <v>218</v>
      </c>
    </row>
    <row r="25" spans="1:6" x14ac:dyDescent="0.3">
      <c r="A25" s="14" t="s">
        <v>420</v>
      </c>
      <c r="B25" s="14" t="s">
        <v>421</v>
      </c>
      <c r="C25" s="14" t="s">
        <v>422</v>
      </c>
      <c r="D25" s="14" t="s">
        <v>423</v>
      </c>
      <c r="E25" s="14" t="s">
        <v>238</v>
      </c>
    </row>
    <row r="26" spans="1:6" x14ac:dyDescent="0.3">
      <c r="A26" s="14" t="s">
        <v>424</v>
      </c>
      <c r="B26" s="14" t="s">
        <v>425</v>
      </c>
      <c r="C26" s="14" t="s">
        <v>426</v>
      </c>
      <c r="D26" s="14" t="s">
        <v>427</v>
      </c>
      <c r="E26" s="14" t="s">
        <v>244</v>
      </c>
    </row>
    <row r="28" spans="1:6" ht="15.6" x14ac:dyDescent="0.3">
      <c r="A28" s="5" t="s">
        <v>428</v>
      </c>
    </row>
    <row r="29" spans="1:6" x14ac:dyDescent="0.3">
      <c r="A29" s="12" t="s">
        <v>429</v>
      </c>
      <c r="B29" s="12" t="s">
        <v>378</v>
      </c>
      <c r="C29" s="12" t="s">
        <v>430</v>
      </c>
    </row>
    <row r="30" spans="1:6" x14ac:dyDescent="0.3">
      <c r="A30" s="14" t="s">
        <v>431</v>
      </c>
      <c r="B30" s="14" t="s">
        <v>432</v>
      </c>
      <c r="C30" s="14" t="s">
        <v>433</v>
      </c>
    </row>
    <row r="31" spans="1:6" x14ac:dyDescent="0.3">
      <c r="A31" s="14" t="s">
        <v>434</v>
      </c>
      <c r="B31" s="14" t="s">
        <v>435</v>
      </c>
      <c r="C31" s="14" t="s">
        <v>156</v>
      </c>
    </row>
    <row r="32" spans="1:6" x14ac:dyDescent="0.3">
      <c r="A32" s="14" t="s">
        <v>436</v>
      </c>
      <c r="B32" s="14" t="s">
        <v>437</v>
      </c>
      <c r="C32" s="14" t="s">
        <v>438</v>
      </c>
    </row>
    <row r="33" spans="1:3" ht="26.4" x14ac:dyDescent="0.3">
      <c r="A33" s="14" t="s">
        <v>439</v>
      </c>
      <c r="B33" s="14" t="s">
        <v>440</v>
      </c>
      <c r="C33" s="14" t="s">
        <v>441</v>
      </c>
    </row>
    <row r="34" spans="1:3" ht="26.4" x14ac:dyDescent="0.3">
      <c r="A34" s="14" t="s">
        <v>442</v>
      </c>
      <c r="B34" s="14" t="s">
        <v>443</v>
      </c>
      <c r="C34" s="14" t="s">
        <v>444</v>
      </c>
    </row>
    <row r="35" spans="1:3" ht="26.4" x14ac:dyDescent="0.3">
      <c r="A35" s="14" t="s">
        <v>445</v>
      </c>
      <c r="B35" s="14" t="s">
        <v>446</v>
      </c>
      <c r="C35" s="14" t="s">
        <v>447</v>
      </c>
    </row>
  </sheetData>
  <pageMargins left="0.75" right="0.75" top="1" bottom="1" header="0.5" footer="0.5"/>
  <pageSetup fitToHeight="0" orientation="landscape"/>
  <headerFooter>
    <oddFooter>&amp;LAPK6-SRS-001 v1.1&amp;RPage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pageSetUpPr fitToPage="1"/>
  </sheetPr>
  <dimension ref="A1:G15"/>
  <sheetViews>
    <sheetView showGridLines="0" workbookViewId="0">
      <pane xSplit="1" ySplit="4" topLeftCell="B5" activePane="bottomRight" state="frozen"/>
      <selection pane="topRight"/>
      <selection pane="bottomLeft"/>
      <selection pane="bottomRight" activeCell="E10" sqref="E10"/>
    </sheetView>
  </sheetViews>
  <sheetFormatPr baseColWidth="10" defaultColWidth="8.88671875" defaultRowHeight="14.4" x14ac:dyDescent="0.3"/>
  <cols>
    <col min="1" max="1" width="14" customWidth="1"/>
    <col min="2" max="2" width="20" customWidth="1"/>
    <col min="3" max="3" width="34" customWidth="1"/>
    <col min="4" max="4" width="20" customWidth="1"/>
    <col min="5" max="5" width="18" customWidth="1"/>
    <col min="6" max="6" width="48" customWidth="1"/>
    <col min="7" max="7" width="14" customWidth="1"/>
  </cols>
  <sheetData>
    <row r="1" spans="1:7" ht="17.399999999999999" x14ac:dyDescent="0.3">
      <c r="A1" s="10" t="s">
        <v>448</v>
      </c>
    </row>
    <row r="2" spans="1:7" x14ac:dyDescent="0.3">
      <c r="A2" s="11" t="s">
        <v>449</v>
      </c>
    </row>
    <row r="4" spans="1:7" ht="30" customHeight="1" x14ac:dyDescent="0.3">
      <c r="A4" s="12" t="s">
        <v>450</v>
      </c>
      <c r="B4" s="12" t="s">
        <v>378</v>
      </c>
      <c r="C4" s="12" t="s">
        <v>451</v>
      </c>
      <c r="D4" s="12" t="s">
        <v>452</v>
      </c>
      <c r="E4" s="12" t="s">
        <v>453</v>
      </c>
      <c r="F4" s="12" t="s">
        <v>454</v>
      </c>
      <c r="G4" s="12" t="s">
        <v>455</v>
      </c>
    </row>
    <row r="5" spans="1:7" ht="26.4" x14ac:dyDescent="0.3">
      <c r="A5" s="13" t="s">
        <v>456</v>
      </c>
      <c r="B5" s="14" t="s">
        <v>457</v>
      </c>
      <c r="C5" s="14" t="s">
        <v>458</v>
      </c>
      <c r="D5" s="14" t="s">
        <v>459</v>
      </c>
      <c r="E5" s="13" t="s">
        <v>460</v>
      </c>
      <c r="F5" s="14" t="s">
        <v>461</v>
      </c>
      <c r="G5" s="13">
        <f>COUNTIF('SW Requirements'!$E$5:$E$200,"*"&amp;A5&amp;"*")</f>
        <v>1</v>
      </c>
    </row>
    <row r="6" spans="1:7" x14ac:dyDescent="0.3">
      <c r="A6" s="16" t="s">
        <v>462</v>
      </c>
      <c r="B6" s="17" t="s">
        <v>463</v>
      </c>
      <c r="C6" s="17" t="s">
        <v>464</v>
      </c>
      <c r="D6" s="17" t="s">
        <v>459</v>
      </c>
      <c r="E6" s="16" t="s">
        <v>465</v>
      </c>
      <c r="F6" s="17" t="s">
        <v>466</v>
      </c>
      <c r="G6" s="16">
        <f>COUNTIF('SW Requirements'!$E$5:$E$200,"*"&amp;A6&amp;"*")</f>
        <v>1</v>
      </c>
    </row>
    <row r="7" spans="1:7" x14ac:dyDescent="0.3">
      <c r="A7" s="13" t="s">
        <v>131</v>
      </c>
      <c r="B7" s="14" t="s">
        <v>467</v>
      </c>
      <c r="C7" s="14" t="s">
        <v>468</v>
      </c>
      <c r="D7" s="14" t="s">
        <v>459</v>
      </c>
      <c r="E7" s="13" t="s">
        <v>469</v>
      </c>
      <c r="F7" s="14" t="s">
        <v>470</v>
      </c>
      <c r="G7" s="13">
        <f>COUNTIF('SW Requirements'!$E$5:$E$200,"*"&amp;A7&amp;"*")</f>
        <v>6</v>
      </c>
    </row>
    <row r="8" spans="1:7" x14ac:dyDescent="0.3">
      <c r="A8" s="16" t="s">
        <v>471</v>
      </c>
      <c r="B8" s="17" t="s">
        <v>472</v>
      </c>
      <c r="C8" s="17" t="s">
        <v>473</v>
      </c>
      <c r="D8" s="17" t="s">
        <v>459</v>
      </c>
      <c r="E8" s="16" t="s">
        <v>465</v>
      </c>
      <c r="F8" s="17" t="s">
        <v>474</v>
      </c>
      <c r="G8" s="16">
        <f>COUNTIF('SW Requirements'!$E$5:$E$200,"*"&amp;A8&amp;"*")</f>
        <v>1</v>
      </c>
    </row>
    <row r="9" spans="1:7" ht="26.4" x14ac:dyDescent="0.3">
      <c r="A9" s="13" t="s">
        <v>164</v>
      </c>
      <c r="B9" s="14" t="s">
        <v>475</v>
      </c>
      <c r="C9" s="14" t="s">
        <v>476</v>
      </c>
      <c r="D9" s="14" t="s">
        <v>459</v>
      </c>
      <c r="E9" s="13" t="s">
        <v>469</v>
      </c>
      <c r="F9" s="14" t="s">
        <v>477</v>
      </c>
      <c r="G9" s="13">
        <f>COUNTIF('SW Requirements'!$E$5:$E$200,"*"&amp;A9&amp;"*")</f>
        <v>16</v>
      </c>
    </row>
    <row r="10" spans="1:7" ht="39.6" x14ac:dyDescent="0.3">
      <c r="A10" s="16" t="s">
        <v>234</v>
      </c>
      <c r="B10" s="17" t="s">
        <v>478</v>
      </c>
      <c r="C10" s="17" t="s">
        <v>479</v>
      </c>
      <c r="D10" s="17" t="s">
        <v>459</v>
      </c>
      <c r="E10" s="16" t="s">
        <v>480</v>
      </c>
      <c r="F10" s="17" t="s">
        <v>481</v>
      </c>
      <c r="G10" s="16">
        <f>COUNTIF('SW Requirements'!$E$5:$E$200,"*"&amp;A10&amp;"*")</f>
        <v>9</v>
      </c>
    </row>
    <row r="11" spans="1:7" x14ac:dyDescent="0.3">
      <c r="A11" s="13" t="s">
        <v>482</v>
      </c>
      <c r="B11" s="14" t="s">
        <v>483</v>
      </c>
      <c r="C11" s="14" t="s">
        <v>484</v>
      </c>
      <c r="D11" s="14" t="s">
        <v>459</v>
      </c>
      <c r="E11" s="13" t="s">
        <v>485</v>
      </c>
      <c r="F11" s="14" t="s">
        <v>486</v>
      </c>
      <c r="G11" s="13">
        <f>COUNTIF('SW Requirements'!$E$5:$E$200,"*"&amp;A11&amp;"*")</f>
        <v>2</v>
      </c>
    </row>
    <row r="12" spans="1:7" x14ac:dyDescent="0.3">
      <c r="A12" s="16" t="s">
        <v>300</v>
      </c>
      <c r="B12" s="17" t="s">
        <v>487</v>
      </c>
      <c r="C12" s="17" t="s">
        <v>488</v>
      </c>
      <c r="D12" s="17" t="s">
        <v>489</v>
      </c>
      <c r="E12" s="16" t="s">
        <v>490</v>
      </c>
      <c r="F12" s="17" t="s">
        <v>491</v>
      </c>
      <c r="G12" s="16">
        <f>COUNTIF('SW Requirements'!$E$5:$E$200,"*"&amp;A12&amp;"*")</f>
        <v>2</v>
      </c>
    </row>
    <row r="13" spans="1:7" x14ac:dyDescent="0.3">
      <c r="A13" s="13" t="s">
        <v>306</v>
      </c>
      <c r="B13" s="14" t="s">
        <v>492</v>
      </c>
      <c r="C13" s="14" t="s">
        <v>493</v>
      </c>
      <c r="D13" s="14" t="s">
        <v>494</v>
      </c>
      <c r="E13" s="13" t="s">
        <v>495</v>
      </c>
      <c r="F13" s="14" t="s">
        <v>496</v>
      </c>
      <c r="G13" s="13">
        <f>COUNTIF('SW Requirements'!$E$5:$E$200,"*"&amp;A13&amp;"*")</f>
        <v>7</v>
      </c>
    </row>
    <row r="14" spans="1:7" x14ac:dyDescent="0.3">
      <c r="A14" s="16" t="s">
        <v>340</v>
      </c>
      <c r="B14" s="17" t="s">
        <v>497</v>
      </c>
      <c r="C14" s="17" t="s">
        <v>498</v>
      </c>
      <c r="D14" s="17" t="s">
        <v>494</v>
      </c>
      <c r="E14" s="16" t="s">
        <v>499</v>
      </c>
      <c r="F14" s="17" t="s">
        <v>500</v>
      </c>
      <c r="G14" s="16">
        <f>COUNTIF('SW Requirements'!$E$5:$E$200,"*"&amp;A14&amp;"*")</f>
        <v>1</v>
      </c>
    </row>
    <row r="15" spans="1:7" x14ac:dyDescent="0.3">
      <c r="A15" s="13" t="s">
        <v>352</v>
      </c>
      <c r="B15" s="14" t="s">
        <v>350</v>
      </c>
      <c r="C15" s="14" t="s">
        <v>501</v>
      </c>
      <c r="D15" s="14" t="s">
        <v>502</v>
      </c>
      <c r="E15" s="13" t="s">
        <v>503</v>
      </c>
      <c r="F15" s="14" t="s">
        <v>504</v>
      </c>
      <c r="G15" s="13">
        <f>COUNTIF('SW Requirements'!$E$5:$E$200,"*"&amp;A15&amp;"*")</f>
        <v>1</v>
      </c>
    </row>
  </sheetData>
  <autoFilter ref="A4:G15" xr:uid="{00000000-0009-0000-0000-000004000000}"/>
  <pageMargins left="0.75" right="0.75" top="1" bottom="1" header="0.5" footer="0.5"/>
  <pageSetup fitToHeight="0" orientation="landscape"/>
  <headerFooter>
    <oddFooter>&amp;LAPK6-SRS-001 v1.1&amp;RPage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pageSetUpPr fitToPage="1"/>
  </sheetPr>
  <dimension ref="A1:K18"/>
  <sheetViews>
    <sheetView showGridLines="0" workbookViewId="0">
      <pane xSplit="1" ySplit="4" topLeftCell="B5" activePane="bottomRight" state="frozen"/>
      <selection pane="topRight"/>
      <selection pane="bottomLeft"/>
      <selection pane="bottomRight" activeCell="C11" sqref="C11"/>
    </sheetView>
  </sheetViews>
  <sheetFormatPr baseColWidth="10" defaultColWidth="8.88671875" defaultRowHeight="14.4" x14ac:dyDescent="0.3"/>
  <cols>
    <col min="1" max="1" width="9" customWidth="1"/>
    <col min="2" max="2" width="22" customWidth="1"/>
    <col min="3" max="3" width="11" customWidth="1"/>
    <col min="4" max="4" width="26" customWidth="1"/>
    <col min="5" max="5" width="40" customWidth="1"/>
    <col min="6" max="6" width="42" customWidth="1"/>
    <col min="7" max="7" width="24" customWidth="1"/>
    <col min="8" max="8" width="10" customWidth="1"/>
    <col min="9" max="9" width="11" customWidth="1"/>
    <col min="10" max="10" width="12" customWidth="1"/>
    <col min="11" max="11" width="20" customWidth="1"/>
  </cols>
  <sheetData>
    <row r="1" spans="1:11" ht="17.399999999999999" x14ac:dyDescent="0.3">
      <c r="A1" s="10" t="s">
        <v>505</v>
      </c>
    </row>
    <row r="2" spans="1:11" x14ac:dyDescent="0.3">
      <c r="A2" s="11" t="s">
        <v>506</v>
      </c>
    </row>
    <row r="4" spans="1:11" ht="30" customHeight="1" x14ac:dyDescent="0.3">
      <c r="A4" s="12" t="s">
        <v>507</v>
      </c>
      <c r="B4" s="12" t="s">
        <v>53</v>
      </c>
      <c r="C4" s="12" t="s">
        <v>508</v>
      </c>
      <c r="D4" s="12" t="s">
        <v>509</v>
      </c>
      <c r="E4" s="12" t="s">
        <v>510</v>
      </c>
      <c r="F4" s="12" t="s">
        <v>511</v>
      </c>
      <c r="G4" s="12" t="s">
        <v>512</v>
      </c>
      <c r="H4" s="12" t="s">
        <v>513</v>
      </c>
      <c r="I4" s="12" t="s">
        <v>6</v>
      </c>
      <c r="J4" s="12" t="s">
        <v>514</v>
      </c>
      <c r="K4" s="12" t="s">
        <v>515</v>
      </c>
    </row>
    <row r="5" spans="1:11" ht="26.4" x14ac:dyDescent="0.3">
      <c r="A5" s="13" t="s">
        <v>126</v>
      </c>
      <c r="B5" s="14" t="s">
        <v>516</v>
      </c>
      <c r="C5" s="13" t="s">
        <v>66</v>
      </c>
      <c r="D5" s="14" t="s">
        <v>517</v>
      </c>
      <c r="E5" s="14" t="s">
        <v>518</v>
      </c>
      <c r="F5" s="14" t="s">
        <v>519</v>
      </c>
      <c r="G5" s="14" t="s">
        <v>520</v>
      </c>
      <c r="H5" s="15" t="s">
        <v>521</v>
      </c>
      <c r="I5" s="18"/>
      <c r="J5" s="18"/>
      <c r="K5" s="18"/>
    </row>
    <row r="6" spans="1:11" ht="66" x14ac:dyDescent="0.3">
      <c r="A6" s="16" t="s">
        <v>154</v>
      </c>
      <c r="B6" s="17" t="s">
        <v>522</v>
      </c>
      <c r="C6" s="16" t="s">
        <v>66</v>
      </c>
      <c r="D6" s="17" t="s">
        <v>523</v>
      </c>
      <c r="E6" s="17" t="s">
        <v>524</v>
      </c>
      <c r="F6" s="17" t="s">
        <v>525</v>
      </c>
      <c r="G6" s="17" t="s">
        <v>526</v>
      </c>
      <c r="H6" s="15" t="s">
        <v>521</v>
      </c>
      <c r="I6" s="18"/>
      <c r="J6" s="18"/>
      <c r="K6" s="18"/>
    </row>
    <row r="7" spans="1:11" ht="26.4" x14ac:dyDescent="0.3">
      <c r="A7" s="13" t="s">
        <v>527</v>
      </c>
      <c r="B7" s="14" t="s">
        <v>528</v>
      </c>
      <c r="C7" s="13" t="s">
        <v>66</v>
      </c>
      <c r="D7" s="14" t="s">
        <v>529</v>
      </c>
      <c r="E7" s="14" t="s">
        <v>530</v>
      </c>
      <c r="F7" s="14" t="s">
        <v>531</v>
      </c>
      <c r="G7" s="14" t="s">
        <v>532</v>
      </c>
      <c r="H7" s="15" t="s">
        <v>521</v>
      </c>
      <c r="I7" s="18"/>
      <c r="J7" s="18"/>
      <c r="K7" s="18"/>
    </row>
    <row r="8" spans="1:11" ht="26.4" x14ac:dyDescent="0.3">
      <c r="A8" s="16" t="s">
        <v>189</v>
      </c>
      <c r="B8" s="17" t="s">
        <v>185</v>
      </c>
      <c r="C8" s="16" t="s">
        <v>66</v>
      </c>
      <c r="D8" s="17" t="s">
        <v>523</v>
      </c>
      <c r="E8" s="17" t="s">
        <v>533</v>
      </c>
      <c r="F8" s="17" t="s">
        <v>534</v>
      </c>
      <c r="G8" s="17" t="s">
        <v>535</v>
      </c>
      <c r="H8" s="15" t="s">
        <v>521</v>
      </c>
      <c r="I8" s="18"/>
      <c r="J8" s="18"/>
      <c r="K8" s="18"/>
    </row>
    <row r="9" spans="1:11" ht="66" x14ac:dyDescent="0.3">
      <c r="A9" s="13" t="s">
        <v>200</v>
      </c>
      <c r="B9" s="14" t="s">
        <v>536</v>
      </c>
      <c r="C9" s="13" t="s">
        <v>66</v>
      </c>
      <c r="D9" s="14" t="s">
        <v>537</v>
      </c>
      <c r="E9" s="14" t="s">
        <v>538</v>
      </c>
      <c r="F9" s="14" t="s">
        <v>539</v>
      </c>
      <c r="G9" s="14" t="s">
        <v>540</v>
      </c>
      <c r="H9" s="15" t="s">
        <v>521</v>
      </c>
      <c r="I9" s="18"/>
      <c r="J9" s="18"/>
      <c r="K9" s="18"/>
    </row>
    <row r="10" spans="1:11" ht="26.4" x14ac:dyDescent="0.3">
      <c r="A10" s="16" t="s">
        <v>212</v>
      </c>
      <c r="B10" s="17" t="s">
        <v>541</v>
      </c>
      <c r="C10" s="16" t="s">
        <v>66</v>
      </c>
      <c r="D10" s="17" t="s">
        <v>542</v>
      </c>
      <c r="E10" s="17" t="s">
        <v>543</v>
      </c>
      <c r="F10" s="17" t="s">
        <v>544</v>
      </c>
      <c r="G10" s="17" t="s">
        <v>545</v>
      </c>
      <c r="H10" s="15" t="s">
        <v>521</v>
      </c>
      <c r="I10" s="18"/>
      <c r="J10" s="18"/>
      <c r="K10" s="18"/>
    </row>
    <row r="11" spans="1:11" ht="39.6" x14ac:dyDescent="0.3">
      <c r="A11" s="13" t="s">
        <v>147</v>
      </c>
      <c r="B11" s="14" t="s">
        <v>546</v>
      </c>
      <c r="C11" s="13" t="s">
        <v>66</v>
      </c>
      <c r="D11" s="14" t="s">
        <v>547</v>
      </c>
      <c r="E11" s="14" t="s">
        <v>548</v>
      </c>
      <c r="F11" s="14" t="s">
        <v>549</v>
      </c>
      <c r="G11" s="14" t="s">
        <v>550</v>
      </c>
      <c r="H11" s="15" t="s">
        <v>521</v>
      </c>
      <c r="I11" s="18"/>
      <c r="J11" s="18"/>
      <c r="K11" s="18"/>
    </row>
    <row r="12" spans="1:11" ht="66" x14ac:dyDescent="0.3">
      <c r="A12" s="16" t="s">
        <v>195</v>
      </c>
      <c r="B12" s="17" t="s">
        <v>551</v>
      </c>
      <c r="C12" s="16" t="s">
        <v>66</v>
      </c>
      <c r="D12" s="17" t="s">
        <v>552</v>
      </c>
      <c r="E12" s="17" t="s">
        <v>553</v>
      </c>
      <c r="F12" s="17" t="s">
        <v>554</v>
      </c>
      <c r="G12" s="17" t="s">
        <v>555</v>
      </c>
      <c r="H12" s="15" t="s">
        <v>521</v>
      </c>
      <c r="I12" s="18"/>
      <c r="J12" s="18"/>
      <c r="K12" s="18"/>
    </row>
    <row r="13" spans="1:11" ht="39.6" x14ac:dyDescent="0.3">
      <c r="A13" s="13" t="s">
        <v>260</v>
      </c>
      <c r="B13" s="14" t="s">
        <v>556</v>
      </c>
      <c r="C13" s="13" t="s">
        <v>66</v>
      </c>
      <c r="D13" s="14" t="s">
        <v>557</v>
      </c>
      <c r="E13" s="14" t="s">
        <v>558</v>
      </c>
      <c r="F13" s="14" t="s">
        <v>559</v>
      </c>
      <c r="G13" s="14" t="s">
        <v>560</v>
      </c>
      <c r="H13" s="15" t="s">
        <v>521</v>
      </c>
      <c r="I13" s="18"/>
      <c r="J13" s="18"/>
      <c r="K13" s="18"/>
    </row>
    <row r="14" spans="1:11" ht="39.6" x14ac:dyDescent="0.3">
      <c r="A14" s="16" t="s">
        <v>141</v>
      </c>
      <c r="B14" s="17" t="s">
        <v>401</v>
      </c>
      <c r="C14" s="16" t="s">
        <v>66</v>
      </c>
      <c r="D14" s="17" t="s">
        <v>561</v>
      </c>
      <c r="E14" s="17" t="s">
        <v>562</v>
      </c>
      <c r="F14" s="17" t="s">
        <v>563</v>
      </c>
      <c r="G14" s="17" t="s">
        <v>564</v>
      </c>
      <c r="H14" s="15" t="s">
        <v>521</v>
      </c>
      <c r="I14" s="18"/>
      <c r="J14" s="18"/>
      <c r="K14" s="18"/>
    </row>
    <row r="15" spans="1:11" x14ac:dyDescent="0.3">
      <c r="A15" s="13" t="s">
        <v>160</v>
      </c>
      <c r="B15" s="14" t="s">
        <v>156</v>
      </c>
      <c r="C15" s="13" t="s">
        <v>66</v>
      </c>
      <c r="D15" s="14" t="s">
        <v>561</v>
      </c>
      <c r="E15" s="14" t="s">
        <v>565</v>
      </c>
      <c r="F15" s="14" t="s">
        <v>566</v>
      </c>
      <c r="G15" s="14" t="s">
        <v>155</v>
      </c>
      <c r="H15" s="15" t="s">
        <v>521</v>
      </c>
      <c r="I15" s="18"/>
      <c r="J15" s="18"/>
      <c r="K15" s="18"/>
    </row>
    <row r="16" spans="1:11" ht="26.4" x14ac:dyDescent="0.3">
      <c r="A16" s="16" t="s">
        <v>280</v>
      </c>
      <c r="B16" s="17" t="s">
        <v>567</v>
      </c>
      <c r="C16" s="16" t="s">
        <v>66</v>
      </c>
      <c r="D16" s="17" t="s">
        <v>547</v>
      </c>
      <c r="E16" s="17" t="s">
        <v>568</v>
      </c>
      <c r="F16" s="17" t="s">
        <v>569</v>
      </c>
      <c r="G16" s="17" t="s">
        <v>570</v>
      </c>
      <c r="H16" s="15" t="s">
        <v>521</v>
      </c>
      <c r="I16" s="18"/>
      <c r="J16" s="18"/>
      <c r="K16" s="18"/>
    </row>
    <row r="17" spans="1:11" ht="26.4" x14ac:dyDescent="0.3">
      <c r="A17" s="13" t="s">
        <v>336</v>
      </c>
      <c r="B17" s="14" t="s">
        <v>571</v>
      </c>
      <c r="C17" s="13" t="s">
        <v>66</v>
      </c>
      <c r="D17" s="14" t="s">
        <v>572</v>
      </c>
      <c r="E17" s="14" t="s">
        <v>573</v>
      </c>
      <c r="F17" s="14" t="s">
        <v>574</v>
      </c>
      <c r="G17" s="14" t="s">
        <v>575</v>
      </c>
      <c r="H17" s="15" t="s">
        <v>521</v>
      </c>
      <c r="I17" s="18"/>
      <c r="J17" s="18"/>
      <c r="K17" s="18"/>
    </row>
    <row r="18" spans="1:11" ht="39.6" x14ac:dyDescent="0.3">
      <c r="A18" s="16" t="s">
        <v>230</v>
      </c>
      <c r="B18" s="17" t="s">
        <v>576</v>
      </c>
      <c r="C18" s="16" t="s">
        <v>228</v>
      </c>
      <c r="D18" s="17" t="s">
        <v>577</v>
      </c>
      <c r="E18" s="17" t="s">
        <v>578</v>
      </c>
      <c r="F18" s="17" t="s">
        <v>579</v>
      </c>
      <c r="G18" s="17" t="s">
        <v>580</v>
      </c>
      <c r="H18" s="15" t="s">
        <v>521</v>
      </c>
      <c r="I18" s="18"/>
      <c r="J18" s="18"/>
      <c r="K18" s="18"/>
    </row>
  </sheetData>
  <autoFilter ref="A4:K18" xr:uid="{00000000-0009-0000-0000-000005000000}"/>
  <conditionalFormatting sqref="H5:H18">
    <cfRule type="cellIs" dxfId="6" priority="1" operator="equal">
      <formula>"Passed"</formula>
    </cfRule>
    <cfRule type="cellIs" dxfId="5" priority="2" operator="equal">
      <formula>"Failed"</formula>
    </cfRule>
  </conditionalFormatting>
  <dataValidations count="1">
    <dataValidation type="list" allowBlank="1" errorTitle="Invalid value" error="Pick a value from the list" sqref="H5:H18" xr:uid="{00000000-0002-0000-0500-000000000000}">
      <formula1>"Not run,Passed,Failed,Blocked"</formula1>
    </dataValidation>
  </dataValidations>
  <pageMargins left="0.75" right="0.75" top="1" bottom="1" header="0.5" footer="0.5"/>
  <pageSetup fitToHeight="0" orientation="landscape"/>
  <headerFooter>
    <oddFooter>&amp;LAPK6-SRS-001 v1.1&amp;RPage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pageSetUpPr fitToPage="1"/>
  </sheetPr>
  <dimension ref="A1:R44"/>
  <sheetViews>
    <sheetView showGridLines="0" workbookViewId="0">
      <pane xSplit="2" ySplit="4" topLeftCell="C17" activePane="bottomRight" state="frozen"/>
      <selection pane="topRight"/>
      <selection pane="bottomLeft"/>
      <selection pane="bottomRight" activeCell="K4" sqref="K4"/>
    </sheetView>
  </sheetViews>
  <sheetFormatPr baseColWidth="10" defaultColWidth="8.88671875" defaultRowHeight="14.4" x14ac:dyDescent="0.3"/>
  <cols>
    <col min="1" max="1" width="12" customWidth="1"/>
    <col min="2" max="2" width="24" customWidth="1"/>
    <col min="3" max="16" width="6.44140625" customWidth="1"/>
    <col min="17" max="17" width="8" customWidth="1"/>
    <col min="18" max="18" width="12" customWidth="1"/>
  </cols>
  <sheetData>
    <row r="1" spans="1:18" ht="17.399999999999999" x14ac:dyDescent="0.3">
      <c r="A1" s="10" t="s">
        <v>581</v>
      </c>
    </row>
    <row r="2" spans="1:18" x14ac:dyDescent="0.3">
      <c r="A2" s="11" t="s">
        <v>582</v>
      </c>
    </row>
    <row r="4" spans="1:18" ht="49.95" customHeight="1" x14ac:dyDescent="0.3">
      <c r="A4" s="12" t="s">
        <v>583</v>
      </c>
      <c r="B4" s="12" t="s">
        <v>53</v>
      </c>
      <c r="C4" s="19" t="s">
        <v>126</v>
      </c>
      <c r="D4" s="19" t="s">
        <v>154</v>
      </c>
      <c r="E4" s="19" t="s">
        <v>527</v>
      </c>
      <c r="F4" s="19" t="s">
        <v>189</v>
      </c>
      <c r="G4" s="19" t="s">
        <v>200</v>
      </c>
      <c r="H4" s="19" t="s">
        <v>212</v>
      </c>
      <c r="I4" s="19" t="s">
        <v>147</v>
      </c>
      <c r="J4" s="19" t="s">
        <v>195</v>
      </c>
      <c r="K4" s="19" t="s">
        <v>260</v>
      </c>
      <c r="L4" s="19" t="s">
        <v>141</v>
      </c>
      <c r="M4" s="19" t="s">
        <v>160</v>
      </c>
      <c r="N4" s="19" t="s">
        <v>280</v>
      </c>
      <c r="O4" s="19" t="s">
        <v>336</v>
      </c>
      <c r="P4" s="19" t="s">
        <v>230</v>
      </c>
      <c r="Q4" s="12" t="s">
        <v>584</v>
      </c>
      <c r="R4" s="12" t="s">
        <v>585</v>
      </c>
    </row>
    <row r="5" spans="1:18" ht="26.4" x14ac:dyDescent="0.3">
      <c r="A5" s="13" t="s">
        <v>119</v>
      </c>
      <c r="B5" s="14" t="s">
        <v>120</v>
      </c>
      <c r="C5" s="13" t="s">
        <v>586</v>
      </c>
      <c r="D5" s="13"/>
      <c r="E5" s="13"/>
      <c r="F5" s="13"/>
      <c r="G5" s="13"/>
      <c r="H5" s="13"/>
      <c r="I5" s="13"/>
      <c r="J5" s="13"/>
      <c r="K5" s="13"/>
      <c r="L5" s="13"/>
      <c r="M5" s="13"/>
      <c r="N5" s="13"/>
      <c r="O5" s="13"/>
      <c r="P5" s="13"/>
      <c r="Q5" s="13">
        <f t="shared" ref="Q5:Q43" si="0">COUNTIF(C5:P5,"X")</f>
        <v>1</v>
      </c>
      <c r="R5" s="13" t="str">
        <f t="shared" ref="R5:R43" si="1">IF(Q5&gt;0,"Covered","NOT COVERED")</f>
        <v>Covered</v>
      </c>
    </row>
    <row r="6" spans="1:18" ht="26.4" x14ac:dyDescent="0.3">
      <c r="A6" s="16" t="s">
        <v>128</v>
      </c>
      <c r="B6" s="17" t="s">
        <v>129</v>
      </c>
      <c r="C6" s="16" t="s">
        <v>586</v>
      </c>
      <c r="D6" s="16"/>
      <c r="E6" s="16"/>
      <c r="F6" s="16"/>
      <c r="G6" s="16"/>
      <c r="H6" s="16"/>
      <c r="I6" s="16"/>
      <c r="J6" s="16"/>
      <c r="K6" s="16"/>
      <c r="L6" s="16" t="s">
        <v>586</v>
      </c>
      <c r="M6" s="16"/>
      <c r="N6" s="16"/>
      <c r="O6" s="16"/>
      <c r="P6" s="16"/>
      <c r="Q6" s="16">
        <f t="shared" si="0"/>
        <v>2</v>
      </c>
      <c r="R6" s="16" t="str">
        <f t="shared" si="1"/>
        <v>Covered</v>
      </c>
    </row>
    <row r="7" spans="1:18" ht="26.4" x14ac:dyDescent="0.3">
      <c r="A7" s="13" t="s">
        <v>135</v>
      </c>
      <c r="B7" s="14" t="s">
        <v>136</v>
      </c>
      <c r="C7" s="13"/>
      <c r="D7" s="13"/>
      <c r="E7" s="13"/>
      <c r="F7" s="13"/>
      <c r="G7" s="13"/>
      <c r="H7" s="13"/>
      <c r="I7" s="13"/>
      <c r="J7" s="13"/>
      <c r="K7" s="13"/>
      <c r="L7" s="13" t="s">
        <v>586</v>
      </c>
      <c r="M7" s="13"/>
      <c r="N7" s="13"/>
      <c r="O7" s="13"/>
      <c r="P7" s="13"/>
      <c r="Q7" s="13">
        <f t="shared" si="0"/>
        <v>1</v>
      </c>
      <c r="R7" s="13" t="str">
        <f t="shared" si="1"/>
        <v>Covered</v>
      </c>
    </row>
    <row r="8" spans="1:18" ht="26.4" x14ac:dyDescent="0.3">
      <c r="A8" s="16" t="s">
        <v>142</v>
      </c>
      <c r="B8" s="17" t="s">
        <v>143</v>
      </c>
      <c r="C8" s="16"/>
      <c r="D8" s="16"/>
      <c r="E8" s="16"/>
      <c r="F8" s="16"/>
      <c r="G8" s="16"/>
      <c r="H8" s="16"/>
      <c r="I8" s="16" t="s">
        <v>586</v>
      </c>
      <c r="J8" s="16"/>
      <c r="K8" s="16"/>
      <c r="L8" s="16"/>
      <c r="M8" s="16"/>
      <c r="N8" s="16"/>
      <c r="O8" s="16"/>
      <c r="P8" s="16"/>
      <c r="Q8" s="16">
        <f t="shared" si="0"/>
        <v>1</v>
      </c>
      <c r="R8" s="16" t="str">
        <f t="shared" si="1"/>
        <v>Covered</v>
      </c>
    </row>
    <row r="9" spans="1:18" ht="26.4" x14ac:dyDescent="0.3">
      <c r="A9" s="13" t="s">
        <v>148</v>
      </c>
      <c r="B9" s="14" t="s">
        <v>149</v>
      </c>
      <c r="C9" s="13"/>
      <c r="D9" s="13" t="s">
        <v>586</v>
      </c>
      <c r="E9" s="13"/>
      <c r="F9" s="13"/>
      <c r="G9" s="13"/>
      <c r="H9" s="13"/>
      <c r="I9" s="13"/>
      <c r="J9" s="13"/>
      <c r="K9" s="13"/>
      <c r="L9" s="13"/>
      <c r="M9" s="13"/>
      <c r="N9" s="13"/>
      <c r="O9" s="13"/>
      <c r="P9" s="13"/>
      <c r="Q9" s="13">
        <f t="shared" si="0"/>
        <v>1</v>
      </c>
      <c r="R9" s="13" t="str">
        <f t="shared" si="1"/>
        <v>Covered</v>
      </c>
    </row>
    <row r="10" spans="1:18" ht="26.4" x14ac:dyDescent="0.3">
      <c r="A10" s="16" t="s">
        <v>155</v>
      </c>
      <c r="B10" s="17" t="s">
        <v>156</v>
      </c>
      <c r="C10" s="16"/>
      <c r="D10" s="16"/>
      <c r="E10" s="16"/>
      <c r="F10" s="16"/>
      <c r="G10" s="16"/>
      <c r="H10" s="16"/>
      <c r="I10" s="16"/>
      <c r="J10" s="16"/>
      <c r="K10" s="16"/>
      <c r="L10" s="16"/>
      <c r="M10" s="16" t="s">
        <v>586</v>
      </c>
      <c r="N10" s="16"/>
      <c r="O10" s="16"/>
      <c r="P10" s="16"/>
      <c r="Q10" s="16">
        <f t="shared" si="0"/>
        <v>1</v>
      </c>
      <c r="R10" s="16" t="str">
        <f t="shared" si="1"/>
        <v>Covered</v>
      </c>
    </row>
    <row r="11" spans="1:18" ht="26.4" x14ac:dyDescent="0.3">
      <c r="A11" s="13" t="s">
        <v>161</v>
      </c>
      <c r="B11" s="14" t="s">
        <v>162</v>
      </c>
      <c r="C11" s="13"/>
      <c r="D11" s="13" t="s">
        <v>586</v>
      </c>
      <c r="E11" s="13" t="s">
        <v>586</v>
      </c>
      <c r="F11" s="13"/>
      <c r="G11" s="13"/>
      <c r="H11" s="13"/>
      <c r="I11" s="13"/>
      <c r="J11" s="13"/>
      <c r="K11" s="13"/>
      <c r="L11" s="13"/>
      <c r="M11" s="13"/>
      <c r="N11" s="13"/>
      <c r="O11" s="13"/>
      <c r="P11" s="13"/>
      <c r="Q11" s="13">
        <f t="shared" si="0"/>
        <v>2</v>
      </c>
      <c r="R11" s="13" t="str">
        <f t="shared" si="1"/>
        <v>Covered</v>
      </c>
    </row>
    <row r="12" spans="1:18" ht="26.4" x14ac:dyDescent="0.3">
      <c r="A12" s="16" t="s">
        <v>168</v>
      </c>
      <c r="B12" s="17" t="s">
        <v>169</v>
      </c>
      <c r="C12" s="16"/>
      <c r="D12" s="16" t="s">
        <v>586</v>
      </c>
      <c r="E12" s="16" t="s">
        <v>586</v>
      </c>
      <c r="F12" s="16"/>
      <c r="G12" s="16"/>
      <c r="H12" s="16"/>
      <c r="I12" s="16"/>
      <c r="J12" s="16"/>
      <c r="K12" s="16"/>
      <c r="L12" s="16"/>
      <c r="M12" s="16"/>
      <c r="N12" s="16"/>
      <c r="O12" s="16"/>
      <c r="P12" s="16"/>
      <c r="Q12" s="16">
        <f t="shared" si="0"/>
        <v>2</v>
      </c>
      <c r="R12" s="16" t="str">
        <f t="shared" si="1"/>
        <v>Covered</v>
      </c>
    </row>
    <row r="13" spans="1:18" ht="26.4" x14ac:dyDescent="0.3">
      <c r="A13" s="13" t="s">
        <v>173</v>
      </c>
      <c r="B13" s="14" t="s">
        <v>174</v>
      </c>
      <c r="C13" s="13"/>
      <c r="D13" s="13" t="s">
        <v>586</v>
      </c>
      <c r="E13" s="13" t="s">
        <v>586</v>
      </c>
      <c r="F13" s="13"/>
      <c r="G13" s="13"/>
      <c r="H13" s="13"/>
      <c r="I13" s="13"/>
      <c r="J13" s="13"/>
      <c r="K13" s="13"/>
      <c r="L13" s="13"/>
      <c r="M13" s="13"/>
      <c r="N13" s="13"/>
      <c r="O13" s="13"/>
      <c r="P13" s="13"/>
      <c r="Q13" s="13">
        <f t="shared" si="0"/>
        <v>2</v>
      </c>
      <c r="R13" s="13" t="str">
        <f t="shared" si="1"/>
        <v>Covered</v>
      </c>
    </row>
    <row r="14" spans="1:18" ht="26.4" x14ac:dyDescent="0.3">
      <c r="A14" s="16" t="s">
        <v>178</v>
      </c>
      <c r="B14" s="17" t="s">
        <v>179</v>
      </c>
      <c r="C14" s="16"/>
      <c r="D14" s="16" t="s">
        <v>586</v>
      </c>
      <c r="E14" s="16"/>
      <c r="F14" s="16"/>
      <c r="G14" s="16"/>
      <c r="H14" s="16"/>
      <c r="I14" s="16"/>
      <c r="J14" s="16"/>
      <c r="K14" s="16"/>
      <c r="L14" s="16"/>
      <c r="M14" s="16"/>
      <c r="N14" s="16"/>
      <c r="O14" s="16"/>
      <c r="P14" s="16"/>
      <c r="Q14" s="16">
        <f t="shared" si="0"/>
        <v>1</v>
      </c>
      <c r="R14" s="16" t="str">
        <f t="shared" si="1"/>
        <v>Covered</v>
      </c>
    </row>
    <row r="15" spans="1:18" ht="26.4" x14ac:dyDescent="0.3">
      <c r="A15" s="13" t="s">
        <v>184</v>
      </c>
      <c r="B15" s="14" t="s">
        <v>185</v>
      </c>
      <c r="C15" s="13"/>
      <c r="D15" s="13"/>
      <c r="E15" s="13"/>
      <c r="F15" s="13" t="s">
        <v>586</v>
      </c>
      <c r="G15" s="13"/>
      <c r="H15" s="13"/>
      <c r="I15" s="13"/>
      <c r="J15" s="13"/>
      <c r="K15" s="13"/>
      <c r="L15" s="13"/>
      <c r="M15" s="13"/>
      <c r="N15" s="13"/>
      <c r="O15" s="13"/>
      <c r="P15" s="13"/>
      <c r="Q15" s="13">
        <f t="shared" si="0"/>
        <v>1</v>
      </c>
      <c r="R15" s="13" t="str">
        <f t="shared" si="1"/>
        <v>Covered</v>
      </c>
    </row>
    <row r="16" spans="1:18" ht="26.4" x14ac:dyDescent="0.3">
      <c r="A16" s="16" t="s">
        <v>190</v>
      </c>
      <c r="B16" s="17" t="s">
        <v>191</v>
      </c>
      <c r="C16" s="16"/>
      <c r="D16" s="16"/>
      <c r="E16" s="16"/>
      <c r="F16" s="16"/>
      <c r="G16" s="16"/>
      <c r="H16" s="16"/>
      <c r="I16" s="16"/>
      <c r="J16" s="16" t="s">
        <v>586</v>
      </c>
      <c r="K16" s="16"/>
      <c r="L16" s="16"/>
      <c r="M16" s="16"/>
      <c r="N16" s="16"/>
      <c r="O16" s="16"/>
      <c r="P16" s="16"/>
      <c r="Q16" s="16">
        <f t="shared" si="0"/>
        <v>1</v>
      </c>
      <c r="R16" s="16" t="str">
        <f t="shared" si="1"/>
        <v>Covered</v>
      </c>
    </row>
    <row r="17" spans="1:18" ht="26.4" x14ac:dyDescent="0.3">
      <c r="A17" s="13" t="s">
        <v>196</v>
      </c>
      <c r="B17" s="14" t="s">
        <v>197</v>
      </c>
      <c r="C17" s="13"/>
      <c r="D17" s="13"/>
      <c r="E17" s="13"/>
      <c r="F17" s="13"/>
      <c r="G17" s="13" t="s">
        <v>586</v>
      </c>
      <c r="H17" s="13"/>
      <c r="I17" s="13"/>
      <c r="J17" s="13"/>
      <c r="K17" s="13"/>
      <c r="L17" s="13"/>
      <c r="M17" s="13"/>
      <c r="N17" s="13"/>
      <c r="O17" s="13"/>
      <c r="P17" s="13"/>
      <c r="Q17" s="13">
        <f t="shared" si="0"/>
        <v>1</v>
      </c>
      <c r="R17" s="13" t="str">
        <f t="shared" si="1"/>
        <v>Covered</v>
      </c>
    </row>
    <row r="18" spans="1:18" ht="26.4" x14ac:dyDescent="0.3">
      <c r="A18" s="16" t="s">
        <v>201</v>
      </c>
      <c r="B18" s="17" t="s">
        <v>202</v>
      </c>
      <c r="C18" s="16"/>
      <c r="D18" s="16"/>
      <c r="E18" s="16"/>
      <c r="F18" s="16"/>
      <c r="G18" s="16" t="s">
        <v>586</v>
      </c>
      <c r="H18" s="16"/>
      <c r="I18" s="16"/>
      <c r="J18" s="16"/>
      <c r="K18" s="16"/>
      <c r="L18" s="16"/>
      <c r="M18" s="16"/>
      <c r="N18" s="16"/>
      <c r="O18" s="16"/>
      <c r="P18" s="16"/>
      <c r="Q18" s="16">
        <f t="shared" si="0"/>
        <v>1</v>
      </c>
      <c r="R18" s="16" t="str">
        <f t="shared" si="1"/>
        <v>Covered</v>
      </c>
    </row>
    <row r="19" spans="1:18" ht="26.4" x14ac:dyDescent="0.3">
      <c r="A19" s="13" t="s">
        <v>206</v>
      </c>
      <c r="B19" s="14" t="s">
        <v>207</v>
      </c>
      <c r="C19" s="13"/>
      <c r="D19" s="13"/>
      <c r="E19" s="13"/>
      <c r="F19" s="13"/>
      <c r="G19" s="13"/>
      <c r="H19" s="13" t="s">
        <v>586</v>
      </c>
      <c r="I19" s="13"/>
      <c r="J19" s="13"/>
      <c r="K19" s="13"/>
      <c r="L19" s="13"/>
      <c r="M19" s="13"/>
      <c r="N19" s="13"/>
      <c r="O19" s="13"/>
      <c r="P19" s="13"/>
      <c r="Q19" s="13">
        <f t="shared" si="0"/>
        <v>1</v>
      </c>
      <c r="R19" s="13" t="str">
        <f t="shared" si="1"/>
        <v>Covered</v>
      </c>
    </row>
    <row r="20" spans="1:18" ht="26.4" x14ac:dyDescent="0.3">
      <c r="A20" s="16" t="s">
        <v>213</v>
      </c>
      <c r="B20" s="17" t="s">
        <v>214</v>
      </c>
      <c r="C20" s="16"/>
      <c r="D20" s="16"/>
      <c r="E20" s="16"/>
      <c r="F20" s="16"/>
      <c r="G20" s="16"/>
      <c r="H20" s="16" t="s">
        <v>586</v>
      </c>
      <c r="I20" s="16"/>
      <c r="J20" s="16"/>
      <c r="K20" s="16"/>
      <c r="L20" s="16"/>
      <c r="M20" s="16"/>
      <c r="N20" s="16"/>
      <c r="O20" s="16"/>
      <c r="P20" s="16"/>
      <c r="Q20" s="16">
        <f t="shared" si="0"/>
        <v>1</v>
      </c>
      <c r="R20" s="16" t="str">
        <f t="shared" si="1"/>
        <v>Covered</v>
      </c>
    </row>
    <row r="21" spans="1:18" ht="26.4" x14ac:dyDescent="0.3">
      <c r="A21" s="13" t="s">
        <v>218</v>
      </c>
      <c r="B21" s="14" t="s">
        <v>219</v>
      </c>
      <c r="C21" s="13"/>
      <c r="D21" s="13"/>
      <c r="E21" s="13"/>
      <c r="F21" s="13"/>
      <c r="G21" s="13" t="s">
        <v>586</v>
      </c>
      <c r="H21" s="13"/>
      <c r="I21" s="13"/>
      <c r="J21" s="13"/>
      <c r="K21" s="13"/>
      <c r="L21" s="13"/>
      <c r="M21" s="13"/>
      <c r="N21" s="13"/>
      <c r="O21" s="13"/>
      <c r="P21" s="13"/>
      <c r="Q21" s="13">
        <f t="shared" si="0"/>
        <v>1</v>
      </c>
      <c r="R21" s="13" t="str">
        <f t="shared" si="1"/>
        <v>Covered</v>
      </c>
    </row>
    <row r="22" spans="1:18" ht="26.4" x14ac:dyDescent="0.3">
      <c r="A22" s="16" t="s">
        <v>224</v>
      </c>
      <c r="B22" s="17" t="s">
        <v>225</v>
      </c>
      <c r="C22" s="16"/>
      <c r="D22" s="16"/>
      <c r="E22" s="16"/>
      <c r="F22" s="16"/>
      <c r="G22" s="16"/>
      <c r="H22" s="16"/>
      <c r="I22" s="16"/>
      <c r="J22" s="16"/>
      <c r="K22" s="16"/>
      <c r="L22" s="16"/>
      <c r="M22" s="16"/>
      <c r="N22" s="16"/>
      <c r="O22" s="16"/>
      <c r="P22" s="16" t="s">
        <v>586</v>
      </c>
      <c r="Q22" s="16">
        <f t="shared" si="0"/>
        <v>1</v>
      </c>
      <c r="R22" s="16" t="str">
        <f t="shared" si="1"/>
        <v>Covered</v>
      </c>
    </row>
    <row r="23" spans="1:18" ht="26.4" x14ac:dyDescent="0.3">
      <c r="A23" s="13" t="s">
        <v>231</v>
      </c>
      <c r="B23" s="14" t="s">
        <v>232</v>
      </c>
      <c r="C23" s="13"/>
      <c r="D23" s="13"/>
      <c r="E23" s="13"/>
      <c r="F23" s="13"/>
      <c r="G23" s="13"/>
      <c r="H23" s="13"/>
      <c r="I23" s="13"/>
      <c r="J23" s="13" t="s">
        <v>586</v>
      </c>
      <c r="K23" s="13"/>
      <c r="L23" s="13"/>
      <c r="M23" s="13"/>
      <c r="N23" s="13" t="s">
        <v>586</v>
      </c>
      <c r="O23" s="13"/>
      <c r="P23" s="13"/>
      <c r="Q23" s="13">
        <f t="shared" si="0"/>
        <v>2</v>
      </c>
      <c r="R23" s="13" t="str">
        <f t="shared" si="1"/>
        <v>Covered</v>
      </c>
    </row>
    <row r="24" spans="1:18" ht="26.4" x14ac:dyDescent="0.3">
      <c r="A24" s="16" t="s">
        <v>238</v>
      </c>
      <c r="B24" s="17" t="s">
        <v>239</v>
      </c>
      <c r="C24" s="16"/>
      <c r="D24" s="16"/>
      <c r="E24" s="16"/>
      <c r="F24" s="16"/>
      <c r="G24" s="16"/>
      <c r="H24" s="16"/>
      <c r="I24" s="16"/>
      <c r="J24" s="16" t="s">
        <v>586</v>
      </c>
      <c r="K24" s="16"/>
      <c r="L24" s="16"/>
      <c r="M24" s="16"/>
      <c r="N24" s="16"/>
      <c r="O24" s="16"/>
      <c r="P24" s="16"/>
      <c r="Q24" s="16">
        <f t="shared" si="0"/>
        <v>1</v>
      </c>
      <c r="R24" s="16" t="str">
        <f t="shared" si="1"/>
        <v>Covered</v>
      </c>
    </row>
    <row r="25" spans="1:18" ht="26.4" x14ac:dyDescent="0.3">
      <c r="A25" s="13" t="s">
        <v>244</v>
      </c>
      <c r="B25" s="14" t="s">
        <v>245</v>
      </c>
      <c r="C25" s="13"/>
      <c r="D25" s="13"/>
      <c r="E25" s="13"/>
      <c r="F25" s="13"/>
      <c r="G25" s="13"/>
      <c r="H25" s="13"/>
      <c r="I25" s="13"/>
      <c r="J25" s="13" t="s">
        <v>586</v>
      </c>
      <c r="K25" s="13"/>
      <c r="L25" s="13"/>
      <c r="M25" s="13"/>
      <c r="N25" s="13"/>
      <c r="O25" s="13"/>
      <c r="P25" s="13"/>
      <c r="Q25" s="13">
        <f t="shared" si="0"/>
        <v>1</v>
      </c>
      <c r="R25" s="13" t="str">
        <f t="shared" si="1"/>
        <v>Covered</v>
      </c>
    </row>
    <row r="26" spans="1:18" ht="26.4" x14ac:dyDescent="0.3">
      <c r="A26" s="16" t="s">
        <v>249</v>
      </c>
      <c r="B26" s="17" t="s">
        <v>250</v>
      </c>
      <c r="C26" s="16"/>
      <c r="D26" s="16"/>
      <c r="E26" s="16"/>
      <c r="F26" s="16"/>
      <c r="G26" s="16"/>
      <c r="H26" s="16"/>
      <c r="I26" s="16"/>
      <c r="J26" s="16" t="s">
        <v>586</v>
      </c>
      <c r="K26" s="16"/>
      <c r="L26" s="16"/>
      <c r="M26" s="16"/>
      <c r="N26" s="16"/>
      <c r="O26" s="16"/>
      <c r="P26" s="16"/>
      <c r="Q26" s="16">
        <f t="shared" si="0"/>
        <v>1</v>
      </c>
      <c r="R26" s="16" t="str">
        <f t="shared" si="1"/>
        <v>Covered</v>
      </c>
    </row>
    <row r="27" spans="1:18" ht="26.4" x14ac:dyDescent="0.3">
      <c r="A27" s="13" t="s">
        <v>255</v>
      </c>
      <c r="B27" s="14" t="s">
        <v>256</v>
      </c>
      <c r="C27" s="13"/>
      <c r="D27" s="13"/>
      <c r="E27" s="13"/>
      <c r="F27" s="13"/>
      <c r="G27" s="13"/>
      <c r="H27" s="13"/>
      <c r="I27" s="13"/>
      <c r="J27" s="13"/>
      <c r="K27" s="13" t="s">
        <v>586</v>
      </c>
      <c r="L27" s="13"/>
      <c r="M27" s="13"/>
      <c r="N27" s="13"/>
      <c r="O27" s="13"/>
      <c r="P27" s="13"/>
      <c r="Q27" s="13">
        <f t="shared" si="0"/>
        <v>1</v>
      </c>
      <c r="R27" s="13" t="str">
        <f t="shared" si="1"/>
        <v>Covered</v>
      </c>
    </row>
    <row r="28" spans="1:18" ht="26.4" x14ac:dyDescent="0.3">
      <c r="A28" s="16" t="s">
        <v>261</v>
      </c>
      <c r="B28" s="17" t="s">
        <v>262</v>
      </c>
      <c r="C28" s="16"/>
      <c r="D28" s="16"/>
      <c r="E28" s="16"/>
      <c r="F28" s="16"/>
      <c r="G28" s="16"/>
      <c r="H28" s="16"/>
      <c r="I28" s="16"/>
      <c r="J28" s="16" t="s">
        <v>586</v>
      </c>
      <c r="K28" s="16"/>
      <c r="L28" s="16"/>
      <c r="M28" s="16"/>
      <c r="N28" s="16"/>
      <c r="O28" s="16"/>
      <c r="P28" s="16"/>
      <c r="Q28" s="16">
        <f t="shared" si="0"/>
        <v>1</v>
      </c>
      <c r="R28" s="16" t="str">
        <f t="shared" si="1"/>
        <v>Covered</v>
      </c>
    </row>
    <row r="29" spans="1:18" ht="26.4" x14ac:dyDescent="0.3">
      <c r="A29" s="13" t="s">
        <v>266</v>
      </c>
      <c r="B29" s="14" t="s">
        <v>267</v>
      </c>
      <c r="C29" s="13"/>
      <c r="D29" s="13"/>
      <c r="E29" s="13"/>
      <c r="F29" s="13"/>
      <c r="G29" s="13"/>
      <c r="H29" s="13"/>
      <c r="I29" s="13"/>
      <c r="J29" s="13"/>
      <c r="K29" s="13"/>
      <c r="L29" s="13"/>
      <c r="M29" s="13"/>
      <c r="N29" s="13" t="s">
        <v>586</v>
      </c>
      <c r="O29" s="13"/>
      <c r="P29" s="13" t="s">
        <v>586</v>
      </c>
      <c r="Q29" s="13">
        <f t="shared" si="0"/>
        <v>2</v>
      </c>
      <c r="R29" s="13" t="str">
        <f t="shared" si="1"/>
        <v>Covered</v>
      </c>
    </row>
    <row r="30" spans="1:18" ht="26.4" x14ac:dyDescent="0.3">
      <c r="A30" s="16" t="s">
        <v>274</v>
      </c>
      <c r="B30" s="17" t="s">
        <v>275</v>
      </c>
      <c r="C30" s="16"/>
      <c r="D30" s="16"/>
      <c r="E30" s="16"/>
      <c r="F30" s="16"/>
      <c r="G30" s="16"/>
      <c r="H30" s="16"/>
      <c r="I30" s="16"/>
      <c r="J30" s="16"/>
      <c r="K30" s="16"/>
      <c r="L30" s="16"/>
      <c r="M30" s="16"/>
      <c r="N30" s="16" t="s">
        <v>586</v>
      </c>
      <c r="O30" s="16"/>
      <c r="P30" s="16"/>
      <c r="Q30" s="16">
        <f t="shared" si="0"/>
        <v>1</v>
      </c>
      <c r="R30" s="16" t="str">
        <f t="shared" si="1"/>
        <v>Covered</v>
      </c>
    </row>
    <row r="31" spans="1:18" ht="26.4" x14ac:dyDescent="0.3">
      <c r="A31" s="13" t="s">
        <v>281</v>
      </c>
      <c r="B31" s="14" t="s">
        <v>282</v>
      </c>
      <c r="C31" s="13"/>
      <c r="D31" s="13"/>
      <c r="E31" s="13"/>
      <c r="F31" s="13"/>
      <c r="G31" s="13"/>
      <c r="H31" s="13"/>
      <c r="I31" s="13"/>
      <c r="J31" s="13"/>
      <c r="K31" s="13"/>
      <c r="L31" s="13"/>
      <c r="M31" s="13"/>
      <c r="N31" s="13"/>
      <c r="O31" s="13"/>
      <c r="P31" s="13" t="s">
        <v>586</v>
      </c>
      <c r="Q31" s="13">
        <f t="shared" si="0"/>
        <v>1</v>
      </c>
      <c r="R31" s="13" t="str">
        <f t="shared" si="1"/>
        <v>Covered</v>
      </c>
    </row>
    <row r="32" spans="1:18" ht="26.4" x14ac:dyDescent="0.3">
      <c r="A32" s="16" t="s">
        <v>289</v>
      </c>
      <c r="B32" s="17" t="s">
        <v>290</v>
      </c>
      <c r="C32" s="16"/>
      <c r="D32" s="16"/>
      <c r="E32" s="16"/>
      <c r="F32" s="16"/>
      <c r="G32" s="16" t="s">
        <v>586</v>
      </c>
      <c r="H32" s="16"/>
      <c r="I32" s="16"/>
      <c r="J32" s="16" t="s">
        <v>586</v>
      </c>
      <c r="K32" s="16"/>
      <c r="L32" s="16"/>
      <c r="M32" s="16"/>
      <c r="N32" s="16"/>
      <c r="O32" s="16"/>
      <c r="P32" s="16"/>
      <c r="Q32" s="16">
        <f t="shared" si="0"/>
        <v>2</v>
      </c>
      <c r="R32" s="16" t="str">
        <f t="shared" si="1"/>
        <v>Covered</v>
      </c>
    </row>
    <row r="33" spans="1:18" ht="26.4" x14ac:dyDescent="0.3">
      <c r="A33" s="13" t="s">
        <v>297</v>
      </c>
      <c r="B33" s="14" t="s">
        <v>298</v>
      </c>
      <c r="C33" s="13"/>
      <c r="D33" s="13"/>
      <c r="E33" s="13"/>
      <c r="F33" s="13"/>
      <c r="G33" s="13"/>
      <c r="H33" s="13"/>
      <c r="I33" s="13"/>
      <c r="J33" s="13"/>
      <c r="K33" s="13"/>
      <c r="L33" s="13"/>
      <c r="M33" s="13"/>
      <c r="N33" s="13"/>
      <c r="O33" s="13"/>
      <c r="P33" s="13" t="s">
        <v>586</v>
      </c>
      <c r="Q33" s="13">
        <f t="shared" si="0"/>
        <v>1</v>
      </c>
      <c r="R33" s="13" t="str">
        <f t="shared" si="1"/>
        <v>Covered</v>
      </c>
    </row>
    <row r="34" spans="1:18" ht="26.4" x14ac:dyDescent="0.3">
      <c r="A34" s="16" t="s">
        <v>303</v>
      </c>
      <c r="B34" s="17" t="s">
        <v>304</v>
      </c>
      <c r="C34" s="16"/>
      <c r="D34" s="16" t="s">
        <v>586</v>
      </c>
      <c r="E34" s="16"/>
      <c r="F34" s="16"/>
      <c r="G34" s="16"/>
      <c r="H34" s="16"/>
      <c r="I34" s="16"/>
      <c r="J34" s="16"/>
      <c r="K34" s="16"/>
      <c r="L34" s="16"/>
      <c r="M34" s="16"/>
      <c r="N34" s="16"/>
      <c r="O34" s="16"/>
      <c r="P34" s="16"/>
      <c r="Q34" s="16">
        <f t="shared" si="0"/>
        <v>1</v>
      </c>
      <c r="R34" s="16" t="str">
        <f t="shared" si="1"/>
        <v>Covered</v>
      </c>
    </row>
    <row r="35" spans="1:18" ht="26.4" x14ac:dyDescent="0.3">
      <c r="A35" s="13" t="s">
        <v>309</v>
      </c>
      <c r="B35" s="14" t="s">
        <v>310</v>
      </c>
      <c r="C35" s="13"/>
      <c r="D35" s="13"/>
      <c r="E35" s="13"/>
      <c r="F35" s="13"/>
      <c r="G35" s="13" t="s">
        <v>586</v>
      </c>
      <c r="H35" s="13"/>
      <c r="I35" s="13"/>
      <c r="J35" s="13"/>
      <c r="K35" s="13"/>
      <c r="L35" s="13"/>
      <c r="M35" s="13"/>
      <c r="N35" s="13"/>
      <c r="O35" s="13"/>
      <c r="P35" s="13"/>
      <c r="Q35" s="13">
        <f t="shared" si="0"/>
        <v>1</v>
      </c>
      <c r="R35" s="13" t="str">
        <f t="shared" si="1"/>
        <v>Covered</v>
      </c>
    </row>
    <row r="36" spans="1:18" ht="26.4" x14ac:dyDescent="0.3">
      <c r="A36" s="16" t="s">
        <v>313</v>
      </c>
      <c r="B36" s="17" t="s">
        <v>314</v>
      </c>
      <c r="C36" s="16"/>
      <c r="D36" s="16"/>
      <c r="E36" s="16"/>
      <c r="F36" s="16"/>
      <c r="G36" s="16"/>
      <c r="H36" s="16" t="s">
        <v>586</v>
      </c>
      <c r="I36" s="16"/>
      <c r="J36" s="16"/>
      <c r="K36" s="16"/>
      <c r="L36" s="16"/>
      <c r="M36" s="16"/>
      <c r="N36" s="16"/>
      <c r="O36" s="16"/>
      <c r="P36" s="16"/>
      <c r="Q36" s="16">
        <f t="shared" si="0"/>
        <v>1</v>
      </c>
      <c r="R36" s="16" t="str">
        <f t="shared" si="1"/>
        <v>Covered</v>
      </c>
    </row>
    <row r="37" spans="1:18" ht="26.4" x14ac:dyDescent="0.3">
      <c r="A37" s="13" t="s">
        <v>318</v>
      </c>
      <c r="B37" s="14" t="s">
        <v>319</v>
      </c>
      <c r="C37" s="13"/>
      <c r="D37" s="13"/>
      <c r="E37" s="13"/>
      <c r="F37" s="13"/>
      <c r="G37" s="13"/>
      <c r="H37" s="13"/>
      <c r="I37" s="13"/>
      <c r="J37" s="13" t="s">
        <v>586</v>
      </c>
      <c r="K37" s="13" t="s">
        <v>586</v>
      </c>
      <c r="L37" s="13"/>
      <c r="M37" s="13"/>
      <c r="N37" s="13"/>
      <c r="O37" s="13"/>
      <c r="P37" s="13"/>
      <c r="Q37" s="13">
        <f t="shared" si="0"/>
        <v>2</v>
      </c>
      <c r="R37" s="13" t="str">
        <f t="shared" si="1"/>
        <v>Covered</v>
      </c>
    </row>
    <row r="38" spans="1:18" ht="26.4" x14ac:dyDescent="0.3">
      <c r="A38" s="16" t="s">
        <v>325</v>
      </c>
      <c r="B38" s="17" t="s">
        <v>326</v>
      </c>
      <c r="C38" s="16"/>
      <c r="D38" s="16"/>
      <c r="E38" s="16"/>
      <c r="F38" s="16" t="s">
        <v>586</v>
      </c>
      <c r="G38" s="16"/>
      <c r="H38" s="16"/>
      <c r="I38" s="16" t="s">
        <v>586</v>
      </c>
      <c r="J38" s="16"/>
      <c r="K38" s="16"/>
      <c r="L38" s="16"/>
      <c r="M38" s="16"/>
      <c r="N38" s="16"/>
      <c r="O38" s="16"/>
      <c r="P38" s="16"/>
      <c r="Q38" s="16">
        <f t="shared" si="0"/>
        <v>2</v>
      </c>
      <c r="R38" s="16" t="str">
        <f t="shared" si="1"/>
        <v>Covered</v>
      </c>
    </row>
    <row r="39" spans="1:18" ht="26.4" x14ac:dyDescent="0.3">
      <c r="A39" s="13" t="s">
        <v>331</v>
      </c>
      <c r="B39" s="14" t="s">
        <v>332</v>
      </c>
      <c r="C39" s="13"/>
      <c r="D39" s="13"/>
      <c r="E39" s="13"/>
      <c r="F39" s="13"/>
      <c r="G39" s="13"/>
      <c r="H39" s="13"/>
      <c r="I39" s="13"/>
      <c r="J39" s="13"/>
      <c r="K39" s="13"/>
      <c r="L39" s="13"/>
      <c r="M39" s="13"/>
      <c r="N39" s="13"/>
      <c r="O39" s="13" t="s">
        <v>586</v>
      </c>
      <c r="P39" s="13"/>
      <c r="Q39" s="13">
        <f t="shared" si="0"/>
        <v>1</v>
      </c>
      <c r="R39" s="13" t="str">
        <f t="shared" si="1"/>
        <v>Covered</v>
      </c>
    </row>
    <row r="40" spans="1:18" ht="26.4" x14ac:dyDescent="0.3">
      <c r="A40" s="16" t="s">
        <v>337</v>
      </c>
      <c r="B40" s="17" t="s">
        <v>338</v>
      </c>
      <c r="C40" s="16" t="s">
        <v>586</v>
      </c>
      <c r="D40" s="16"/>
      <c r="E40" s="16"/>
      <c r="F40" s="16"/>
      <c r="G40" s="16" t="s">
        <v>586</v>
      </c>
      <c r="H40" s="16"/>
      <c r="I40" s="16"/>
      <c r="J40" s="16"/>
      <c r="K40" s="16"/>
      <c r="L40" s="16"/>
      <c r="M40" s="16"/>
      <c r="N40" s="16"/>
      <c r="O40" s="16"/>
      <c r="P40" s="16"/>
      <c r="Q40" s="16">
        <f t="shared" si="0"/>
        <v>2</v>
      </c>
      <c r="R40" s="16" t="str">
        <f t="shared" si="1"/>
        <v>Covered</v>
      </c>
    </row>
    <row r="41" spans="1:18" ht="26.4" x14ac:dyDescent="0.3">
      <c r="A41" s="13" t="s">
        <v>344</v>
      </c>
      <c r="B41" s="14" t="s">
        <v>345</v>
      </c>
      <c r="C41" s="13"/>
      <c r="D41" s="13"/>
      <c r="E41" s="13"/>
      <c r="F41" s="13"/>
      <c r="G41" s="13"/>
      <c r="H41" s="13"/>
      <c r="I41" s="13"/>
      <c r="J41" s="13"/>
      <c r="K41" s="13"/>
      <c r="L41" s="13" t="s">
        <v>586</v>
      </c>
      <c r="M41" s="13"/>
      <c r="N41" s="13"/>
      <c r="O41" s="13"/>
      <c r="P41" s="13"/>
      <c r="Q41" s="13">
        <f t="shared" si="0"/>
        <v>1</v>
      </c>
      <c r="R41" s="13" t="str">
        <f t="shared" si="1"/>
        <v>Covered</v>
      </c>
    </row>
    <row r="42" spans="1:18" ht="26.4" x14ac:dyDescent="0.3">
      <c r="A42" s="16" t="s">
        <v>349</v>
      </c>
      <c r="B42" s="17" t="s">
        <v>350</v>
      </c>
      <c r="C42" s="16"/>
      <c r="D42" s="16"/>
      <c r="E42" s="16"/>
      <c r="F42" s="16"/>
      <c r="G42" s="16"/>
      <c r="H42" s="16"/>
      <c r="I42" s="16"/>
      <c r="J42" s="16"/>
      <c r="K42" s="16"/>
      <c r="L42" s="16"/>
      <c r="M42" s="16"/>
      <c r="N42" s="16"/>
      <c r="O42" s="16" t="s">
        <v>586</v>
      </c>
      <c r="P42" s="16"/>
      <c r="Q42" s="16">
        <f t="shared" si="0"/>
        <v>1</v>
      </c>
      <c r="R42" s="16" t="str">
        <f t="shared" si="1"/>
        <v>Covered</v>
      </c>
    </row>
    <row r="43" spans="1:18" ht="26.4" x14ac:dyDescent="0.3">
      <c r="A43" s="13" t="s">
        <v>355</v>
      </c>
      <c r="B43" s="14" t="s">
        <v>356</v>
      </c>
      <c r="C43" s="13"/>
      <c r="D43" s="13" t="s">
        <v>586</v>
      </c>
      <c r="E43" s="13"/>
      <c r="F43" s="13"/>
      <c r="G43" s="13" t="s">
        <v>586</v>
      </c>
      <c r="H43" s="13"/>
      <c r="I43" s="13"/>
      <c r="J43" s="13"/>
      <c r="K43" s="13"/>
      <c r="L43" s="13" t="s">
        <v>586</v>
      </c>
      <c r="M43" s="13"/>
      <c r="N43" s="13"/>
      <c r="O43" s="13"/>
      <c r="P43" s="13"/>
      <c r="Q43" s="13">
        <f t="shared" si="0"/>
        <v>3</v>
      </c>
      <c r="R43" s="13" t="str">
        <f t="shared" si="1"/>
        <v>Covered</v>
      </c>
    </row>
    <row r="44" spans="1:18" x14ac:dyDescent="0.3">
      <c r="A44" s="7" t="s">
        <v>587</v>
      </c>
      <c r="C44" s="20">
        <f t="shared" ref="C44:P44" si="2">COUNTIF(C5:C43,"X")</f>
        <v>3</v>
      </c>
      <c r="D44" s="20">
        <f t="shared" si="2"/>
        <v>7</v>
      </c>
      <c r="E44" s="20">
        <f t="shared" si="2"/>
        <v>3</v>
      </c>
      <c r="F44" s="20">
        <f t="shared" si="2"/>
        <v>2</v>
      </c>
      <c r="G44" s="20">
        <f t="shared" si="2"/>
        <v>7</v>
      </c>
      <c r="H44" s="20">
        <f t="shared" si="2"/>
        <v>3</v>
      </c>
      <c r="I44" s="20">
        <f t="shared" si="2"/>
        <v>2</v>
      </c>
      <c r="J44" s="20">
        <f t="shared" si="2"/>
        <v>8</v>
      </c>
      <c r="K44" s="20">
        <f t="shared" si="2"/>
        <v>2</v>
      </c>
      <c r="L44" s="20">
        <f t="shared" si="2"/>
        <v>4</v>
      </c>
      <c r="M44" s="20">
        <f t="shared" si="2"/>
        <v>1</v>
      </c>
      <c r="N44" s="20">
        <f t="shared" si="2"/>
        <v>3</v>
      </c>
      <c r="O44" s="20">
        <f t="shared" si="2"/>
        <v>2</v>
      </c>
      <c r="P44" s="20">
        <f t="shared" si="2"/>
        <v>4</v>
      </c>
    </row>
  </sheetData>
  <autoFilter ref="A4:R43" xr:uid="{00000000-0009-0000-0000-000006000000}"/>
  <conditionalFormatting sqref="C5:P43">
    <cfRule type="cellIs" dxfId="4" priority="1" operator="equal">
      <formula>"X"</formula>
    </cfRule>
  </conditionalFormatting>
  <conditionalFormatting sqref="C44:P44">
    <cfRule type="cellIs" dxfId="3" priority="4" operator="equal">
      <formula>0</formula>
    </cfRule>
  </conditionalFormatting>
  <conditionalFormatting sqref="R5:R43">
    <cfRule type="cellIs" dxfId="2" priority="2" operator="equal">
      <formula>"NOT COVERED"</formula>
    </cfRule>
    <cfRule type="cellIs" dxfId="1" priority="3" operator="equal">
      <formula>"Covered"</formula>
    </cfRule>
  </conditionalFormatting>
  <pageMargins left="0.75" right="0.75" top="1" bottom="1" header="0.5" footer="0.5"/>
  <pageSetup fitToHeight="0" orientation="landscape"/>
  <headerFooter>
    <oddFooter>&amp;LAPK6-SRS-001 v1.1&amp;RPage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C43"/>
  <sheetViews>
    <sheetView showGridLines="0" topLeftCell="A9" workbookViewId="0">
      <selection activeCell="A7" sqref="A7:C8"/>
    </sheetView>
  </sheetViews>
  <sheetFormatPr baseColWidth="10" defaultColWidth="8.88671875" defaultRowHeight="14.4" x14ac:dyDescent="0.3"/>
  <cols>
    <col min="1" max="1" width="30" customWidth="1"/>
    <col min="2" max="3" width="12" customWidth="1"/>
  </cols>
  <sheetData>
    <row r="1" spans="1:3" ht="17.399999999999999" x14ac:dyDescent="0.3">
      <c r="A1" s="10" t="s">
        <v>39</v>
      </c>
    </row>
    <row r="2" spans="1:3" x14ac:dyDescent="0.3">
      <c r="A2" s="11" t="s">
        <v>588</v>
      </c>
    </row>
    <row r="4" spans="1:3" x14ac:dyDescent="0.3">
      <c r="A4" s="21" t="s">
        <v>589</v>
      </c>
      <c r="B4" s="4">
        <f>COUNTA('SW Requirements'!$A$5:$A$43)</f>
        <v>39</v>
      </c>
      <c r="C4" s="4"/>
    </row>
    <row r="5" spans="1:3" x14ac:dyDescent="0.3">
      <c r="A5" s="21" t="s">
        <v>590</v>
      </c>
      <c r="B5" s="4">
        <f>COUNTA('System Requirements'!$A$5:$A$15)</f>
        <v>11</v>
      </c>
      <c r="C5" s="4"/>
    </row>
    <row r="6" spans="1:3" x14ac:dyDescent="0.3">
      <c r="A6" s="21" t="s">
        <v>591</v>
      </c>
      <c r="B6" s="4">
        <f>COUNTA('Test Specification'!$A$5:$A$18)</f>
        <v>14</v>
      </c>
      <c r="C6" s="4"/>
    </row>
    <row r="7" spans="1:3" x14ac:dyDescent="0.3">
      <c r="A7" s="21" t="s">
        <v>592</v>
      </c>
      <c r="B7" s="4">
        <f>COUNTIF(Traceability!$R$5:$R$43,"Covered")</f>
        <v>39</v>
      </c>
      <c r="C7" s="22">
        <f>IF(B4=0,0,B7/B4)</f>
        <v>1</v>
      </c>
    </row>
    <row r="8" spans="1:3" x14ac:dyDescent="0.3">
      <c r="A8" s="21" t="s">
        <v>593</v>
      </c>
      <c r="B8" s="4">
        <f>COUNTIF('System Requirements'!$I$5:$I$15,0)</f>
        <v>0</v>
      </c>
      <c r="C8" s="4"/>
    </row>
    <row r="9" spans="1:3" x14ac:dyDescent="0.3">
      <c r="A9" s="21" t="s">
        <v>594</v>
      </c>
      <c r="B9" s="4">
        <f>COUNTIF('SW Requirements'!$N$5:$N$43,"MISSING")</f>
        <v>0</v>
      </c>
      <c r="C9" s="4"/>
    </row>
    <row r="11" spans="1:3" ht="15.6" x14ac:dyDescent="0.3">
      <c r="A11" s="5" t="s">
        <v>595</v>
      </c>
    </row>
    <row r="12" spans="1:3" x14ac:dyDescent="0.3">
      <c r="A12" s="6" t="s">
        <v>46</v>
      </c>
      <c r="B12" s="6" t="s">
        <v>596</v>
      </c>
      <c r="C12" s="6" t="s">
        <v>597</v>
      </c>
    </row>
    <row r="13" spans="1:3" x14ac:dyDescent="0.3">
      <c r="A13" s="4" t="s">
        <v>19</v>
      </c>
      <c r="B13" s="4">
        <f>COUNTIF('SW Requirements'!$I$5:$I$43,A13)</f>
        <v>0</v>
      </c>
      <c r="C13" s="22">
        <f>IF($B$4=0,0,B13/$B$4)</f>
        <v>0</v>
      </c>
    </row>
    <row r="14" spans="1:3" x14ac:dyDescent="0.3">
      <c r="A14" s="4" t="s">
        <v>598</v>
      </c>
      <c r="B14" s="4">
        <f>COUNTIF('SW Requirements'!$I$5:$I$43,A14)</f>
        <v>0</v>
      </c>
      <c r="C14" s="22">
        <f>IF($B$4=0,0,B14/$B$4)</f>
        <v>0</v>
      </c>
    </row>
    <row r="15" spans="1:3" x14ac:dyDescent="0.3">
      <c r="A15" s="4" t="s">
        <v>65</v>
      </c>
      <c r="B15" s="4">
        <f>COUNTIF('SW Requirements'!$I$5:$I$43,A15)</f>
        <v>39</v>
      </c>
      <c r="C15" s="22">
        <f>IF($B$4=0,0,B15/$B$4)</f>
        <v>1</v>
      </c>
    </row>
    <row r="16" spans="1:3" x14ac:dyDescent="0.3">
      <c r="A16" s="4" t="s">
        <v>599</v>
      </c>
      <c r="B16" s="4">
        <f>COUNTIF('SW Requirements'!$I$5:$I$43,A16)</f>
        <v>0</v>
      </c>
      <c r="C16" s="22">
        <f>IF($B$4=0,0,B16/$B$4)</f>
        <v>0</v>
      </c>
    </row>
    <row r="17" spans="1:3" x14ac:dyDescent="0.3">
      <c r="A17" s="4" t="s">
        <v>600</v>
      </c>
      <c r="B17" s="4">
        <f>COUNTIF('SW Requirements'!$I$5:$I$43,A17)</f>
        <v>0</v>
      </c>
      <c r="C17" s="22">
        <f>IF($B$4=0,0,B17/$B$4)</f>
        <v>0</v>
      </c>
    </row>
    <row r="20" spans="1:3" ht="15.6" x14ac:dyDescent="0.3">
      <c r="A20" s="5" t="s">
        <v>601</v>
      </c>
    </row>
    <row r="21" spans="1:3" x14ac:dyDescent="0.3">
      <c r="A21" s="6" t="s">
        <v>55</v>
      </c>
      <c r="B21" s="6" t="s">
        <v>596</v>
      </c>
      <c r="C21" s="6" t="s">
        <v>597</v>
      </c>
    </row>
    <row r="22" spans="1:3" x14ac:dyDescent="0.3">
      <c r="A22" s="4" t="s">
        <v>62</v>
      </c>
      <c r="B22" s="4">
        <f>COUNTIF('SW Requirements'!$D$5:$D$43,A22)</f>
        <v>32</v>
      </c>
      <c r="C22" s="22">
        <f>IF($B$4=0,0,B22/$B$4)</f>
        <v>0.82051282051282048</v>
      </c>
    </row>
    <row r="23" spans="1:3" x14ac:dyDescent="0.3">
      <c r="A23" s="4" t="s">
        <v>104</v>
      </c>
      <c r="B23" s="4">
        <f>COUNTIF('SW Requirements'!$D$5:$D$43,A23)</f>
        <v>2</v>
      </c>
      <c r="C23" s="22">
        <f>IF($B$4=0,0,B23/$B$4)</f>
        <v>5.128205128205128E-2</v>
      </c>
    </row>
    <row r="24" spans="1:3" x14ac:dyDescent="0.3">
      <c r="A24" s="4" t="s">
        <v>95</v>
      </c>
      <c r="B24" s="4">
        <f>COUNTIF('SW Requirements'!$D$5:$D$43,A24)</f>
        <v>1</v>
      </c>
      <c r="C24" s="22">
        <f>IF($B$4=0,0,B24/$B$4)</f>
        <v>2.564102564102564E-2</v>
      </c>
    </row>
    <row r="25" spans="1:3" x14ac:dyDescent="0.3">
      <c r="A25" s="4" t="s">
        <v>78</v>
      </c>
      <c r="B25" s="4">
        <f>COUNTIF('SW Requirements'!$D$5:$D$43,A25)</f>
        <v>2</v>
      </c>
      <c r="C25" s="22">
        <f>IF($B$4=0,0,B25/$B$4)</f>
        <v>5.128205128205128E-2</v>
      </c>
    </row>
    <row r="26" spans="1:3" x14ac:dyDescent="0.3">
      <c r="A26" s="4" t="s">
        <v>284</v>
      </c>
      <c r="B26" s="4">
        <f>COUNTIF('SW Requirements'!$D$5:$D$43,A26)</f>
        <v>2</v>
      </c>
      <c r="C26" s="22">
        <f>IF($B$4=0,0,B26/$B$4)</f>
        <v>5.128205128205128E-2</v>
      </c>
    </row>
    <row r="29" spans="1:3" ht="15.6" x14ac:dyDescent="0.3">
      <c r="A29" s="5" t="s">
        <v>602</v>
      </c>
    </row>
    <row r="30" spans="1:3" x14ac:dyDescent="0.3">
      <c r="A30" s="6" t="s">
        <v>508</v>
      </c>
      <c r="B30" s="6" t="s">
        <v>596</v>
      </c>
      <c r="C30" s="6" t="s">
        <v>597</v>
      </c>
    </row>
    <row r="31" spans="1:3" x14ac:dyDescent="0.3">
      <c r="A31" s="4" t="s">
        <v>66</v>
      </c>
      <c r="B31" s="4">
        <f>COUNTIF('SW Requirements'!$J$5:$J$43,A31)</f>
        <v>34</v>
      </c>
      <c r="C31" s="22">
        <f>IF($B$4=0,0,B31/$B$4)</f>
        <v>0.87179487179487181</v>
      </c>
    </row>
    <row r="32" spans="1:3" x14ac:dyDescent="0.3">
      <c r="A32" s="4" t="s">
        <v>603</v>
      </c>
      <c r="B32" s="4">
        <f>COUNTIF('SW Requirements'!$J$5:$J$43,A32)</f>
        <v>0</v>
      </c>
      <c r="C32" s="22">
        <f>IF($B$4=0,0,B32/$B$4)</f>
        <v>0</v>
      </c>
    </row>
    <row r="33" spans="1:3" x14ac:dyDescent="0.3">
      <c r="A33" s="4" t="s">
        <v>228</v>
      </c>
      <c r="B33" s="4">
        <f>COUNTIF('SW Requirements'!$J$5:$J$43,A33)</f>
        <v>2</v>
      </c>
      <c r="C33" s="22">
        <f>IF($B$4=0,0,B33/$B$4)</f>
        <v>5.128205128205128E-2</v>
      </c>
    </row>
    <row r="34" spans="1:3" x14ac:dyDescent="0.3">
      <c r="A34" s="4" t="s">
        <v>287</v>
      </c>
      <c r="B34" s="4">
        <f>COUNTIF('SW Requirements'!$J$5:$J$43,A34)</f>
        <v>2</v>
      </c>
      <c r="C34" s="22">
        <f>IF($B$4=0,0,B34/$B$4)</f>
        <v>5.128205128205128E-2</v>
      </c>
    </row>
    <row r="35" spans="1:3" x14ac:dyDescent="0.3">
      <c r="A35" s="4" t="s">
        <v>294</v>
      </c>
      <c r="B35" s="4">
        <f>COUNTIF('SW Requirements'!$J$5:$J$43,A35)</f>
        <v>1</v>
      </c>
      <c r="C35" s="22">
        <f>IF($B$4=0,0,B35/$B$4)</f>
        <v>2.564102564102564E-2</v>
      </c>
    </row>
    <row r="38" spans="1:3" ht="15.6" x14ac:dyDescent="0.3">
      <c r="A38" s="5" t="s">
        <v>604</v>
      </c>
    </row>
    <row r="39" spans="1:3" x14ac:dyDescent="0.3">
      <c r="A39" s="6" t="s">
        <v>513</v>
      </c>
      <c r="B39" s="6" t="s">
        <v>596</v>
      </c>
      <c r="C39" s="6" t="s">
        <v>597</v>
      </c>
    </row>
    <row r="40" spans="1:3" x14ac:dyDescent="0.3">
      <c r="A40" s="4" t="s">
        <v>521</v>
      </c>
      <c r="B40" s="4">
        <f>COUNTIF('Test Specification'!$H$5:$H$18,A40)</f>
        <v>14</v>
      </c>
      <c r="C40" s="22">
        <f>IF($B$6=0,0,B40/$B$6)</f>
        <v>1</v>
      </c>
    </row>
    <row r="41" spans="1:3" x14ac:dyDescent="0.3">
      <c r="A41" s="4" t="s">
        <v>605</v>
      </c>
      <c r="B41" s="4">
        <f>COUNTIF('Test Specification'!$H$5:$H$18,A41)</f>
        <v>0</v>
      </c>
      <c r="C41" s="22">
        <f>IF($B$6=0,0,B41/$B$6)</f>
        <v>0</v>
      </c>
    </row>
    <row r="42" spans="1:3" x14ac:dyDescent="0.3">
      <c r="A42" s="4" t="s">
        <v>606</v>
      </c>
      <c r="B42" s="4">
        <f>COUNTIF('Test Specification'!$H$5:$H$18,A42)</f>
        <v>0</v>
      </c>
      <c r="C42" s="22">
        <f>IF($B$6=0,0,B42/$B$6)</f>
        <v>0</v>
      </c>
    </row>
    <row r="43" spans="1:3" x14ac:dyDescent="0.3">
      <c r="A43" s="4" t="s">
        <v>607</v>
      </c>
      <c r="B43" s="4">
        <f>COUNTIF('Test Specification'!$H$5:$H$18,A43)</f>
        <v>0</v>
      </c>
      <c r="C43" s="22">
        <f>IF($B$6=0,0,B43/$B$6)</f>
        <v>0</v>
      </c>
    </row>
  </sheetData>
  <conditionalFormatting sqref="B8:B9">
    <cfRule type="cellIs" dxfId="0" priority="1" operator="greaterThan">
      <formula>0</formula>
    </cfRule>
  </conditionalFormatting>
  <pageMargins left="0.75" right="0.75" top="1" bottom="1" header="0.5" footer="0.5"/>
  <pageSetup fitToHeight="0" orientation="landscape"/>
  <headerFooter>
    <oddFooter>&amp;LAPK6-SRS-001 v1.1&amp;RPage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Cover</vt:lpstr>
      <vt:lpstr>System Requirements</vt:lpstr>
      <vt:lpstr>SW Requirements</vt:lpstr>
      <vt:lpstr>Interface Spec</vt:lpstr>
      <vt:lpstr>SW Components</vt:lpstr>
      <vt:lpstr>Test Specification</vt:lpstr>
      <vt:lpstr>Traceability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Mehdi HANZOUTI</cp:lastModifiedBy>
  <dcterms:created xsi:type="dcterms:W3CDTF">2026-10-11T06:31:35Z</dcterms:created>
  <dcterms:modified xsi:type="dcterms:W3CDTF">2026-10-23T13:32:00Z</dcterms:modified>
</cp:coreProperties>
</file>