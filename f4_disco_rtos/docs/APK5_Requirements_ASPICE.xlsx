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ystem Requirements" sheetId="2" state="visible" r:id="rId2"/>
    <sheet name="SW Requirements" sheetId="3" state="visible" r:id="rId3"/>
    <sheet name="Interface Spec" sheetId="4" state="visible" r:id="rId4"/>
    <sheet name="SW Components" sheetId="5" state="visible" r:id="rId5"/>
    <sheet name="Test Specification" sheetId="6" state="visible" r:id="rId6"/>
    <sheet name="Traceability" sheetId="7" state="visible" r:id="rId7"/>
    <sheet name="Dashboard" sheetId="8" state="visible" r:id="rId8"/>
  </sheets>
  <definedNames>
    <definedName name="_xlnm._FilterDatabase" localSheetId="1" hidden="1">'System Requirements'!$A$4:$I$13</definedName>
    <definedName name="_xlnm._FilterDatabase" localSheetId="2" hidden="1">'SW Requirements'!$A$4:$O$35</definedName>
    <definedName name="_xlnm._FilterDatabase" localSheetId="3" hidden="1">'Interface Spec'!$A$4:$E$7</definedName>
    <definedName name="_xlnm._FilterDatabase" localSheetId="4" hidden="1">'SW Components'!$A$4:$G$13</definedName>
    <definedName name="_xlnm._FilterDatabase" localSheetId="5" hidden="1">'Test Specification'!$A$4:$K$20</definedName>
    <definedName name="_xlnm._FilterDatabase" localSheetId="6" hidden="1">'Traceability'!$A$4:$T$35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5" fillId="0" borderId="0" pivotButton="0" quotePrefix="0" xfId="0"/>
    <xf numFmtId="0" fontId="6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top" wrapText="1"/>
    </xf>
    <xf numFmtId="0" fontId="3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APK5 - UART Protocol STM32 / Python</t>
        </is>
      </c>
    </row>
    <row r="2">
      <c r="A2" s="2" t="inlineStr">
        <is>
          <t>Software Requirements Specification (ASPICE SYS.2 / SWE.1 / SWE.6 traceability)</t>
        </is>
      </c>
    </row>
    <row r="4">
      <c r="A4" s="3" t="inlineStr">
        <is>
          <t>Document ID</t>
        </is>
      </c>
      <c r="B4" s="4" t="inlineStr">
        <is>
          <t>APK5-SRS-001</t>
        </is>
      </c>
      <c r="C4" s="5" t="n"/>
    </row>
    <row r="5">
      <c r="A5" s="3" t="inlineStr">
        <is>
          <t>Version</t>
        </is>
      </c>
      <c r="B5" s="4" t="inlineStr">
        <is>
          <t>1.0</t>
        </is>
      </c>
      <c r="C5" s="5" t="n"/>
    </row>
    <row r="6">
      <c r="A6" s="3" t="inlineStr">
        <is>
          <t>Date</t>
        </is>
      </c>
      <c r="B6" s="4" t="inlineStr">
        <is>
          <t>2026-10-10</t>
        </is>
      </c>
      <c r="C6" s="5" t="n"/>
    </row>
    <row r="7">
      <c r="A7" s="3" t="inlineStr">
        <is>
          <t>Author</t>
        </is>
      </c>
      <c r="B7" s="4" t="inlineStr">
        <is>
          <t>M. Hanzouti</t>
        </is>
      </c>
      <c r="C7" s="5" t="n"/>
    </row>
    <row r="8">
      <c r="A8" s="3" t="inlineStr">
        <is>
          <t>Project</t>
        </is>
      </c>
      <c r="B8" s="4" t="inlineStr">
        <is>
          <t>f4_disco_rtos - RTOS training</t>
        </is>
      </c>
      <c r="C8" s="5" t="n"/>
    </row>
    <row r="9">
      <c r="A9" s="3" t="inlineStr">
        <is>
          <t>Target</t>
        </is>
      </c>
      <c r="B9" s="4" t="inlineStr">
        <is>
          <t>STM32F407G-DISC1, FreeRTOS</t>
        </is>
      </c>
      <c r="C9" s="5" t="n"/>
    </row>
    <row r="10">
      <c r="A10" s="3" t="inlineStr">
        <is>
          <t>Host</t>
        </is>
      </c>
      <c r="B10" s="4" t="inlineStr">
        <is>
          <t>Python 3.12, PyQt5, pyserial</t>
        </is>
      </c>
      <c r="C10" s="5" t="n"/>
    </row>
    <row r="11">
      <c r="A11" s="3" t="inlineStr">
        <is>
          <t>Document status</t>
        </is>
      </c>
      <c r="B11" s="4" t="inlineStr">
        <is>
          <t>Draft</t>
        </is>
      </c>
      <c r="C11" s="5" t="n"/>
    </row>
    <row r="14">
      <c r="A14" s="6" t="inlineStr">
        <is>
          <t>Revision history</t>
        </is>
      </c>
    </row>
    <row r="15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4" t="inlineStr">
        <is>
          <t>1.0</t>
        </is>
      </c>
      <c r="B16" s="4" t="inlineStr">
        <is>
          <t>2026-10-10</t>
        </is>
      </c>
      <c r="C16" s="4" t="inlineStr">
        <is>
          <t>M. Hanzouti</t>
        </is>
      </c>
      <c r="D16" s="4" t="inlineStr">
        <is>
          <t>Initial version</t>
        </is>
      </c>
    </row>
    <row r="20">
      <c r="A20" s="6" t="inlineStr">
        <is>
          <t>Sheets</t>
        </is>
      </c>
    </row>
    <row r="21">
      <c r="A21" s="8" t="inlineStr">
        <is>
          <t>System Requirements</t>
        </is>
      </c>
      <c r="B21" s="9" t="inlineStr">
        <is>
          <t>SYS.2 - system requirements derived from the training goals.</t>
        </is>
      </c>
    </row>
    <row r="22">
      <c r="A22" s="8" t="inlineStr">
        <is>
          <t>SW Requirements</t>
        </is>
      </c>
      <c r="B22" s="9" t="inlineStr">
        <is>
          <t>SWE.1 - software requirements, attributes, parent link, allocation, verification.</t>
        </is>
      </c>
    </row>
    <row r="23">
      <c r="A23" s="8" t="inlineStr">
        <is>
          <t>Interface Spec</t>
        </is>
      </c>
      <c r="B23" s="9" t="inlineStr">
        <is>
          <t>Frame format, command and status codes of the UART protocol.</t>
        </is>
      </c>
    </row>
    <row r="24">
      <c r="A24" s="8" t="inlineStr">
        <is>
          <t>SW Components</t>
        </is>
      </c>
      <c r="B24" s="9" t="inlineStr">
        <is>
          <t>SWE.2 - software architecture elements requirements are allocated to.</t>
        </is>
      </c>
    </row>
    <row r="25">
      <c r="A25" s="8" t="inlineStr">
        <is>
          <t>Test Specification</t>
        </is>
      </c>
      <c r="B25" s="9" t="inlineStr">
        <is>
          <t>SWE.6 - test cases with expected results; Result column to fill in.</t>
        </is>
      </c>
    </row>
    <row r="26">
      <c r="A26" s="8" t="inlineStr">
        <is>
          <t>Traceability</t>
        </is>
      </c>
      <c r="B26" s="9" t="inlineStr">
        <is>
          <t>SW requirement x test case matrix with coverage check.</t>
        </is>
      </c>
    </row>
    <row r="27">
      <c r="A27" s="8" t="inlineStr">
        <is>
          <t>Dashboard</t>
        </is>
      </c>
      <c r="B27" s="9" t="inlineStr">
        <is>
          <t>Live counts: status, type, verification coverage, test results.</t>
        </is>
      </c>
    </row>
    <row r="29">
      <c r="A29" s="6" t="inlineStr">
        <is>
          <t>Legend</t>
        </is>
      </c>
    </row>
    <row r="30">
      <c r="A30" s="10" t="inlineStr">
        <is>
          <t>Yellow cells</t>
        </is>
      </c>
      <c r="B30" s="9" t="inlineStr">
        <is>
          <t>Editable attributes with a drop-down list (Status, Priority, Method, Result).</t>
        </is>
      </c>
    </row>
    <row r="31">
      <c r="A31" s="8" t="inlineStr">
        <is>
          <t>'shall'</t>
        </is>
      </c>
      <c r="B31" s="9" t="inlineStr">
        <is>
          <t>Mandatory requirement wording; one 'shall' per requirement.</t>
        </is>
      </c>
    </row>
    <row r="32">
      <c r="A32" s="8" t="inlineStr">
        <is>
          <t>Status</t>
        </is>
      </c>
      <c r="B32" s="9" t="inlineStr">
        <is>
          <t>Draft &gt; In review &gt; Accepted (or Rejected / Deferred).</t>
        </is>
      </c>
    </row>
    <row r="33">
      <c r="A33" s="8" t="inlineStr">
        <is>
          <t>Verification method</t>
        </is>
      </c>
      <c r="B33" s="9" t="inlineStr">
        <is>
          <t>Test, Analysis, Review, Inspection, Demonstration.</t>
        </is>
      </c>
    </row>
  </sheetData>
  <mergeCells count="8">
    <mergeCell ref="B6:C6"/>
    <mergeCell ref="B7:C7"/>
    <mergeCell ref="B11:C11"/>
    <mergeCell ref="B5:C5"/>
    <mergeCell ref="B10:C10"/>
    <mergeCell ref="B9:C9"/>
    <mergeCell ref="B8:C8"/>
    <mergeCell ref="B4:C4"/>
  </mergeCell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I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5" customWidth="1" min="4" max="4"/>
    <col width="34" customWidth="1" min="5" max="5"/>
    <col width="10" customWidth="1" min="6" max="6"/>
    <col width="12" customWidth="1" min="7" max="7"/>
    <col width="14" customWidth="1" min="8" max="8"/>
    <col width="12" customWidth="1" min="9" max="9"/>
  </cols>
  <sheetData>
    <row r="1">
      <c r="A1" s="11" t="inlineStr">
        <is>
          <t>System Requirements (SYS.2)</t>
        </is>
      </c>
    </row>
    <row r="2">
      <c r="A2" s="12" t="inlineStr">
        <is>
          <t>APK5-SRS-001  |  Version 1.0  |  Stakeholder: RTOS training</t>
        </is>
      </c>
    </row>
    <row r="4" ht="30" customHeight="1">
      <c r="A4" s="13" t="inlineStr">
        <is>
          <t>ID</t>
        </is>
      </c>
      <c r="B4" s="13" t="inlineStr">
        <is>
          <t>Title</t>
        </is>
      </c>
      <c r="C4" s="13" t="inlineStr">
        <is>
          <t>Requirement</t>
        </is>
      </c>
      <c r="D4" s="13" t="inlineStr">
        <is>
          <t>Type</t>
        </is>
      </c>
      <c r="E4" s="13" t="inlineStr">
        <is>
          <t>Rationale</t>
        </is>
      </c>
      <c r="F4" s="13" t="inlineStr">
        <is>
          <t>Priority</t>
        </is>
      </c>
      <c r="G4" s="13" t="inlineStr">
        <is>
          <t>Status</t>
        </is>
      </c>
      <c r="H4" s="13" t="inlineStr">
        <is>
          <t>Verification method</t>
        </is>
      </c>
      <c r="I4" s="13" t="inlineStr">
        <is>
          <t># SW req linked</t>
        </is>
      </c>
    </row>
    <row r="5">
      <c r="A5" s="14" t="inlineStr">
        <is>
          <t>SYS-REQ-001</t>
        </is>
      </c>
      <c r="B5" s="15" t="inlineStr">
        <is>
          <t>LED control</t>
        </is>
      </c>
      <c r="C5" s="15" t="inlineStr">
        <is>
          <t>The system shall allow a PC user to switch on, switch off and toggle each of the four user LEDs (PD12 to PD15) of the STM32F407 Discovery board over a serial link.</t>
        </is>
      </c>
      <c r="D5" s="14" t="inlineStr">
        <is>
          <t>Functional</t>
        </is>
      </c>
      <c r="E5" s="15" t="inlineStr">
        <is>
          <t>Training goal: observable actuator command.</t>
        </is>
      </c>
      <c r="F5" s="16" t="inlineStr">
        <is>
          <t>High</t>
        </is>
      </c>
      <c r="G5" s="16" t="inlineStr">
        <is>
          <t>Accepted</t>
        </is>
      </c>
      <c r="H5" s="16" t="inlineStr">
        <is>
          <t>Test</t>
        </is>
      </c>
      <c r="I5" s="14">
        <f>COUNTIF('SW Requirements'!$F$5:$F$200,"*"&amp;A5&amp;"*")</f>
        <v/>
      </c>
    </row>
    <row r="6">
      <c r="A6" s="17" t="inlineStr">
        <is>
          <t>SYS-REQ-002</t>
        </is>
      </c>
      <c r="B6" s="18" t="inlineStr">
        <is>
          <t>Button read-back</t>
        </is>
      </c>
      <c r="C6" s="18" t="inlineStr">
        <is>
          <t>The system shall allow a PC user to read the state (pressed / released) of the user button B1 (PA0).</t>
        </is>
      </c>
      <c r="D6" s="17" t="inlineStr">
        <is>
          <t>Functional</t>
        </is>
      </c>
      <c r="E6" s="18" t="inlineStr">
        <is>
          <t>Training goal: sensor read request.</t>
        </is>
      </c>
      <c r="F6" s="16" t="inlineStr">
        <is>
          <t>High</t>
        </is>
      </c>
      <c r="G6" s="16" t="inlineStr">
        <is>
          <t>Accepted</t>
        </is>
      </c>
      <c r="H6" s="16" t="inlineStr">
        <is>
          <t>Test</t>
        </is>
      </c>
      <c r="I6" s="17">
        <f>COUNTIF('SW Requirements'!$F$5:$F$200,"*"&amp;A6&amp;"*")</f>
        <v/>
      </c>
    </row>
    <row r="7">
      <c r="A7" s="14" t="inlineStr">
        <is>
          <t>SYS-REQ-003</t>
        </is>
      </c>
      <c r="B7" s="15" t="inlineStr">
        <is>
          <t>Link test</t>
        </is>
      </c>
      <c r="C7" s="15" t="inlineStr">
        <is>
          <t>The system shall provide an echo function to verify that the communication link is operational.</t>
        </is>
      </c>
      <c r="D7" s="14" t="inlineStr">
        <is>
          <t>Functional</t>
        </is>
      </c>
      <c r="E7" s="15" t="inlineStr">
        <is>
          <t>Basic link diagnostics.</t>
        </is>
      </c>
      <c r="F7" s="16" t="inlineStr">
        <is>
          <t>High</t>
        </is>
      </c>
      <c r="G7" s="16" t="inlineStr">
        <is>
          <t>Accepted</t>
        </is>
      </c>
      <c r="H7" s="16" t="inlineStr">
        <is>
          <t>Test</t>
        </is>
      </c>
      <c r="I7" s="14">
        <f>COUNTIF('SW Requirements'!$F$5:$F$200,"*"&amp;A7&amp;"*")</f>
        <v/>
      </c>
    </row>
    <row r="8">
      <c r="A8" s="17" t="inlineStr">
        <is>
          <t>SYS-REQ-004</t>
        </is>
      </c>
      <c r="B8" s="18" t="inlineStr">
        <is>
          <t>Communication interface</t>
        </is>
      </c>
      <c r="C8" s="18" t="inlineStr">
        <is>
          <t>The PC and the board shall exchange 3-byte frames SOF (0xAA) - CMD - DATA over UART at 115200 baud, 8 data bits, no parity, 1 stop bit.</t>
        </is>
      </c>
      <c r="D8" s="17" t="inlineStr">
        <is>
          <t>Interface</t>
        </is>
      </c>
      <c r="E8" s="18" t="inlineStr">
        <is>
          <t>Simple fixed-length protocol for training.</t>
        </is>
      </c>
      <c r="F8" s="16" t="inlineStr">
        <is>
          <t>High</t>
        </is>
      </c>
      <c r="G8" s="16" t="inlineStr">
        <is>
          <t>Accepted</t>
        </is>
      </c>
      <c r="H8" s="16" t="inlineStr">
        <is>
          <t>Test</t>
        </is>
      </c>
      <c r="I8" s="17">
        <f>COUNTIF('SW Requirements'!$F$5:$F$200,"*"&amp;A8&amp;"*")</f>
        <v/>
      </c>
    </row>
    <row r="9">
      <c r="A9" s="14" t="inlineStr">
        <is>
          <t>SYS-REQ-005</t>
        </is>
      </c>
      <c r="B9" s="15" t="inlineStr">
        <is>
          <t>Request / response</t>
        </is>
      </c>
      <c r="C9" s="15" t="inlineStr">
        <is>
          <t>The board shall answer every complete request frame with exactly one response frame and shall report invalid commands and invalid parameters.</t>
        </is>
      </c>
      <c r="D9" s="14" t="inlineStr">
        <is>
          <t>Functional</t>
        </is>
      </c>
      <c r="E9" s="15" t="inlineStr">
        <is>
          <t>Host always knows the outcome of a request.</t>
        </is>
      </c>
      <c r="F9" s="16" t="inlineStr">
        <is>
          <t>High</t>
        </is>
      </c>
      <c r="G9" s="16" t="inlineStr">
        <is>
          <t>Accepted</t>
        </is>
      </c>
      <c r="H9" s="16" t="inlineStr">
        <is>
          <t>Test</t>
        </is>
      </c>
      <c r="I9" s="14">
        <f>COUNTIF('SW Requirements'!$F$5:$F$200,"*"&amp;A9&amp;"*")</f>
        <v/>
      </c>
    </row>
    <row r="10">
      <c r="A10" s="17" t="inlineStr">
        <is>
          <t>SYS-REQ-006</t>
        </is>
      </c>
      <c r="B10" s="18" t="inlineStr">
        <is>
          <t>Link robustness</t>
        </is>
      </c>
      <c r="C10" s="18" t="inlineStr">
        <is>
          <t>The link shall recover without reset from line noise, lost bytes, partial frames and foreign bytes on the line.</t>
        </is>
      </c>
      <c r="D10" s="17" t="inlineStr">
        <is>
          <t>Non-functional</t>
        </is>
      </c>
      <c r="E10" s="18" t="inlineStr">
        <is>
          <t>UART is shared with the debug log; cables may be unplugged.</t>
        </is>
      </c>
      <c r="F10" s="16" t="inlineStr">
        <is>
          <t>High</t>
        </is>
      </c>
      <c r="G10" s="16" t="inlineStr">
        <is>
          <t>Accepted</t>
        </is>
      </c>
      <c r="H10" s="16" t="inlineStr">
        <is>
          <t>Test</t>
        </is>
      </c>
      <c r="I10" s="17">
        <f>COUNTIF('SW Requirements'!$F$5:$F$200,"*"&amp;A10&amp;"*")</f>
        <v/>
      </c>
    </row>
    <row r="11">
      <c r="A11" s="14" t="inlineStr">
        <is>
          <t>SYS-REQ-007</t>
        </is>
      </c>
      <c r="B11" s="15" t="inlineStr">
        <is>
          <t>Host user interface</t>
        </is>
      </c>
      <c r="C11" s="15" t="inlineStr">
        <is>
          <t>The PC application shall provide a graphical user interface with one control per command and a time-stamped log of all exchanged frames.</t>
        </is>
      </c>
      <c r="D11" s="14" t="inlineStr">
        <is>
          <t>Functional</t>
        </is>
      </c>
      <c r="E11" s="15" t="inlineStr">
        <is>
          <t>Usability for trainees.</t>
        </is>
      </c>
      <c r="F11" s="16" t="inlineStr">
        <is>
          <t>High</t>
        </is>
      </c>
      <c r="G11" s="16" t="inlineStr">
        <is>
          <t>Accepted</t>
        </is>
      </c>
      <c r="H11" s="16" t="inlineStr">
        <is>
          <t>Test</t>
        </is>
      </c>
      <c r="I11" s="14">
        <f>COUNTIF('SW Requirements'!$F$5:$F$200,"*"&amp;A11&amp;"*")</f>
        <v/>
      </c>
    </row>
    <row r="12">
      <c r="A12" s="17" t="inlineStr">
        <is>
          <t>SYS-REQ-008</t>
        </is>
      </c>
      <c r="B12" s="18" t="inlineStr">
        <is>
          <t>Response time</t>
        </is>
      </c>
      <c r="C12" s="18" t="inlineStr">
        <is>
          <t>The board shall send the response within 20 ms after the last byte of the request.</t>
        </is>
      </c>
      <c r="D12" s="17" t="inlineStr">
        <is>
          <t>Performance</t>
        </is>
      </c>
      <c r="E12" s="18" t="inlineStr">
        <is>
          <t>Interactive use from the GUI.</t>
        </is>
      </c>
      <c r="F12" s="16" t="inlineStr">
        <is>
          <t>High</t>
        </is>
      </c>
      <c r="G12" s="16" t="inlineStr">
        <is>
          <t>Accepted</t>
        </is>
      </c>
      <c r="H12" s="16" t="inlineStr">
        <is>
          <t>Test</t>
        </is>
      </c>
      <c r="I12" s="17">
        <f>COUNTIF('SW Requirements'!$F$5:$F$200,"*"&amp;A12&amp;"*")</f>
        <v/>
      </c>
    </row>
    <row r="13">
      <c r="A13" s="14" t="inlineStr">
        <is>
          <t>SYS-REQ-009</t>
        </is>
      </c>
      <c r="B13" s="15" t="inlineStr">
        <is>
          <t>Debug trace</t>
        </is>
      </c>
      <c r="C13" s="15" t="inlineStr">
        <is>
          <t>The board shall output a readable trace of each received frame on the serial line.</t>
        </is>
      </c>
      <c r="D13" s="14" t="inlineStr">
        <is>
          <t>Functional</t>
        </is>
      </c>
      <c r="E13" s="15" t="inlineStr">
        <is>
          <t>Debugging during training.</t>
        </is>
      </c>
      <c r="F13" s="16" t="inlineStr">
        <is>
          <t>High</t>
        </is>
      </c>
      <c r="G13" s="16" t="inlineStr">
        <is>
          <t>Accepted</t>
        </is>
      </c>
      <c r="H13" s="16" t="inlineStr">
        <is>
          <t>Test</t>
        </is>
      </c>
      <c r="I13" s="14">
        <f>COUNTIF('SW Requirements'!$F$5:$F$200,"*"&amp;A13&amp;"*")</f>
        <v/>
      </c>
    </row>
  </sheetData>
  <autoFilter ref="A4:I13"/>
  <conditionalFormatting sqref="I5:I13">
    <cfRule type="cellIs" priority="1" operator="equal" dxfId="0">
      <formula>0</formula>
    </cfRule>
  </conditionalFormatting>
  <dataValidations count="3">
    <dataValidation sqref="F5:F13" showDropDown="0" showInputMessage="0" showErrorMessage="0" allowBlank="1" errorTitle="Invalid value" error="Pick a value from the list" type="list">
      <formula1>"High,Medium,Low"</formula1>
    </dataValidation>
    <dataValidation sqref="G5:G13" showDropDown="0" showInputMessage="0" showErrorMessage="0" allowBlank="1" errorTitle="Invalid value" error="Pick a value from the list" type="list">
      <formula1>"Draft,In review,Accepted,Rejected,Deferred"</formula1>
    </dataValidation>
    <dataValidation sqref="H5:H13" showDropDown="0" showInputMessage="0" showErrorMessage="0" allowBlank="1" errorTitle="Invalid value" error="Pick a value from the list" type="list">
      <formula1>"Test,Analysis,Review,Inspection,Demonstration"</formula1>
    </dataValidation>
  </dataValidation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O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4" customWidth="1" min="4" max="4"/>
    <col width="16" customWidth="1" min="5" max="5"/>
    <col width="18" customWidth="1" min="6" max="6"/>
    <col width="30" customWidth="1" min="7" max="7"/>
    <col width="9" customWidth="1" min="8" max="8"/>
    <col width="11" customWidth="1" min="9" max="9"/>
    <col width="13" customWidth="1" min="10" max="10"/>
    <col width="36" customWidth="1" min="11" max="11"/>
    <col width="16" customWidth="1" min="12" max="12"/>
    <col width="8" customWidth="1" min="13" max="13"/>
    <col width="10" customWidth="1" min="14" max="14"/>
    <col width="20" customWidth="1" min="15" max="15"/>
  </cols>
  <sheetData>
    <row r="1">
      <c r="A1" s="11" t="inlineStr">
        <is>
          <t>Software Requirements (SWE.1)</t>
        </is>
      </c>
    </row>
    <row r="2">
      <c r="A2" s="12" t="inlineStr">
        <is>
          <t>APK5-SRS-001  |  Version 1.0  |  Parent: System Requirements  |  Allocation: SW Components</t>
        </is>
      </c>
    </row>
    <row r="4" ht="30" customHeight="1">
      <c r="A4" s="13" t="inlineStr">
        <is>
          <t>ID</t>
        </is>
      </c>
      <c r="B4" s="13" t="inlineStr">
        <is>
          <t>Title</t>
        </is>
      </c>
      <c r="C4" s="13" t="inlineStr">
        <is>
          <t>Requirement</t>
        </is>
      </c>
      <c r="D4" s="13" t="inlineStr">
        <is>
          <t>Type</t>
        </is>
      </c>
      <c r="E4" s="13" t="inlineStr">
        <is>
          <t>SW component (SWE.2)</t>
        </is>
      </c>
      <c r="F4" s="13" t="inlineStr">
        <is>
          <t>Parent SYS req</t>
        </is>
      </c>
      <c r="G4" s="13" t="inlineStr">
        <is>
          <t>Rationale</t>
        </is>
      </c>
      <c r="H4" s="13" t="inlineStr">
        <is>
          <t>Priority</t>
        </is>
      </c>
      <c r="I4" s="13" t="inlineStr">
        <is>
          <t>Status</t>
        </is>
      </c>
      <c r="J4" s="13" t="inlineStr">
        <is>
          <t>Verification method</t>
        </is>
      </c>
      <c r="K4" s="13" t="inlineStr">
        <is>
          <t>Acceptance criteria</t>
        </is>
      </c>
      <c r="L4" s="13" t="inlineStr">
        <is>
          <t>Test case(s) (SWE.6)</t>
        </is>
      </c>
      <c r="M4" s="13" t="inlineStr">
        <is>
          <t>Release</t>
        </is>
      </c>
      <c r="N4" s="13" t="inlineStr">
        <is>
          <t>Parent valid</t>
        </is>
      </c>
      <c r="O4" s="13" t="inlineStr">
        <is>
          <t>Comment</t>
        </is>
      </c>
    </row>
    <row r="5">
      <c r="A5" s="14" t="inlineStr">
        <is>
          <t>SW-REQ-001</t>
        </is>
      </c>
      <c r="B5" s="15" t="inlineStr">
        <is>
          <t>Interrupt-driven reception</t>
        </is>
      </c>
      <c r="C5" s="15" t="inlineStr">
        <is>
          <t>The firmware shall receive UART bytes by interrupt, one byte per interrupt, without polling.</t>
        </is>
      </c>
      <c r="D5" s="14" t="inlineStr">
        <is>
          <t>Functional</t>
        </is>
      </c>
      <c r="E5" s="15" t="inlineStr">
        <is>
          <t>SWC-ISR</t>
        </is>
      </c>
      <c r="F5" s="15" t="inlineStr">
        <is>
          <t>SYS-REQ-004</t>
        </is>
      </c>
      <c r="G5" s="15" t="inlineStr">
        <is>
          <t>Frees the CPU for tasks; no byte lost while tasks run.</t>
        </is>
      </c>
      <c r="H5" s="16" t="inlineStr">
        <is>
          <t>High</t>
        </is>
      </c>
      <c r="I5" s="16" t="inlineStr">
        <is>
          <t>Accepted</t>
        </is>
      </c>
      <c r="J5" s="16" t="inlineStr">
        <is>
          <t>Test</t>
        </is>
      </c>
      <c r="K5" s="15" t="inlineStr">
        <is>
          <t>Frame received and answered while other tasks run.</t>
        </is>
      </c>
      <c r="L5" s="15" t="inlineStr">
        <is>
          <t>TC-01</t>
        </is>
      </c>
      <c r="M5" s="14" t="inlineStr">
        <is>
          <t>R1.0</t>
        </is>
      </c>
      <c r="N5" s="14">
        <f>IF(ISNUMBER(MATCH(LEFT(F5,11),'System Requirements'!$A$5:$A$13,0)),"OK","MISSING")</f>
        <v/>
      </c>
      <c r="O5" s="15" t="inlineStr"/>
    </row>
    <row r="6">
      <c r="A6" s="17" t="inlineStr">
        <is>
          <t>SW-REQ-002</t>
        </is>
      </c>
      <c r="B6" s="18" t="inlineStr">
        <is>
          <t>RX state machine</t>
        </is>
      </c>
      <c r="C6" s="18" t="inlineStr">
        <is>
          <t>The UART RX callback shall implement a state machine with the states WAIT_SOF, WAIT_CMD and WAIT_DATA.</t>
        </is>
      </c>
      <c r="D6" s="17" t="inlineStr">
        <is>
          <t>Functional</t>
        </is>
      </c>
      <c r="E6" s="18" t="inlineStr">
        <is>
          <t>SWC-ISR</t>
        </is>
      </c>
      <c r="F6" s="18" t="inlineStr">
        <is>
          <t>SYS-REQ-004</t>
        </is>
      </c>
      <c r="G6" s="18" t="inlineStr">
        <is>
          <t>Byte-level framing of the 3-byte protocol.</t>
        </is>
      </c>
      <c r="H6" s="16" t="inlineStr">
        <is>
          <t>High</t>
        </is>
      </c>
      <c r="I6" s="16" t="inlineStr">
        <is>
          <t>Accepted</t>
        </is>
      </c>
      <c r="J6" s="16" t="inlineStr">
        <is>
          <t>Test</t>
        </is>
      </c>
      <c r="K6" s="18" t="inlineStr">
        <is>
          <t>Valid frame decoded; leading garbage ignored.</t>
        </is>
      </c>
      <c r="L6" s="18" t="inlineStr">
        <is>
          <t>TC-01, TC-07</t>
        </is>
      </c>
      <c r="M6" s="17" t="inlineStr">
        <is>
          <t>R1.0</t>
        </is>
      </c>
      <c r="N6" s="17">
        <f>IF(ISNUMBER(MATCH(LEFT(F6,11),'System Requirements'!$A$5:$A$13,0)),"OK","MISSING")</f>
        <v/>
      </c>
      <c r="O6" s="18" t="inlineStr"/>
    </row>
    <row r="7">
      <c r="A7" s="14" t="inlineStr">
        <is>
          <t>SW-REQ-003</t>
        </is>
      </c>
      <c r="B7" s="15" t="inlineStr">
        <is>
          <t>SOF synchronisation</t>
        </is>
      </c>
      <c r="C7" s="15" t="inlineStr">
        <is>
          <t>In state WAIT_SOF, every byte different from 0xAA shall be discarded.</t>
        </is>
      </c>
      <c r="D7" s="14" t="inlineStr">
        <is>
          <t>Functional</t>
        </is>
      </c>
      <c r="E7" s="15" t="inlineStr">
        <is>
          <t>SWC-ISR</t>
        </is>
      </c>
      <c r="F7" s="15" t="inlineStr">
        <is>
          <t>SYS-REQ-006</t>
        </is>
      </c>
      <c r="G7" s="15" t="inlineStr">
        <is>
          <t>Resynchronisation on foreign bytes.</t>
        </is>
      </c>
      <c r="H7" s="16" t="inlineStr">
        <is>
          <t>High</t>
        </is>
      </c>
      <c r="I7" s="16" t="inlineStr">
        <is>
          <t>Accepted</t>
        </is>
      </c>
      <c r="J7" s="16" t="inlineStr">
        <is>
          <t>Test</t>
        </is>
      </c>
      <c r="K7" s="15" t="inlineStr">
        <is>
          <t>Bytes before SOF produce no response.</t>
        </is>
      </c>
      <c r="L7" s="15" t="inlineStr">
        <is>
          <t>TC-07</t>
        </is>
      </c>
      <c r="M7" s="14" t="inlineStr">
        <is>
          <t>R1.0</t>
        </is>
      </c>
      <c r="N7" s="14">
        <f>IF(ISNUMBER(MATCH(LEFT(F7,11),'System Requirements'!$A$5:$A$13,0)),"OK","MISSING")</f>
        <v/>
      </c>
      <c r="O7" s="15" t="inlineStr"/>
    </row>
    <row r="8">
      <c r="A8" s="17" t="inlineStr">
        <is>
          <t>SW-REQ-004</t>
        </is>
      </c>
      <c r="B8" s="18" t="inlineStr">
        <is>
          <t>Frame hand-over</t>
        </is>
      </c>
      <c r="C8" s="18" t="inlineStr">
        <is>
          <t>On reception of the DATA byte, the callback shall post the frame {CMD, DATA} to QueueFrame with xQueueSendFromISR and return to WAIT_SOF.</t>
        </is>
      </c>
      <c r="D8" s="17" t="inlineStr">
        <is>
          <t>Functional</t>
        </is>
      </c>
      <c r="E8" s="18" t="inlineStr">
        <is>
          <t>SWC-ISR, SWC-QUEUE</t>
        </is>
      </c>
      <c r="F8" s="18" t="inlineStr">
        <is>
          <t>SYS-REQ-004</t>
        </is>
      </c>
      <c r="G8" s="18" t="inlineStr">
        <is>
          <t>Decouples ISR from processing.</t>
        </is>
      </c>
      <c r="H8" s="16" t="inlineStr">
        <is>
          <t>High</t>
        </is>
      </c>
      <c r="I8" s="16" t="inlineStr">
        <is>
          <t>Accepted</t>
        </is>
      </c>
      <c r="J8" s="16" t="inlineStr">
        <is>
          <t>Test</t>
        </is>
      </c>
      <c r="K8" s="18" t="inlineStr">
        <is>
          <t>Each complete frame is processed by the LinkLayer task.</t>
        </is>
      </c>
      <c r="L8" s="18" t="inlineStr">
        <is>
          <t>TC-01</t>
        </is>
      </c>
      <c r="M8" s="17" t="inlineStr">
        <is>
          <t>R1.0</t>
        </is>
      </c>
      <c r="N8" s="17">
        <f>IF(ISNUMBER(MATCH(LEFT(F8,11),'System Requirements'!$A$5:$A$13,0)),"OK","MISSING")</f>
        <v/>
      </c>
      <c r="O8" s="18" t="inlineStr"/>
    </row>
    <row r="9">
      <c r="A9" s="14" t="inlineStr">
        <is>
          <t>SW-REQ-005</t>
        </is>
      </c>
      <c r="B9" s="15" t="inlineStr">
        <is>
          <t>Inter-byte timeout</t>
        </is>
      </c>
      <c r="C9" s="15" t="inlineStr">
        <is>
          <t>If more than 50 ms elapse between two bytes of the same frame, the partial frame shall be discarded and the state machine reset to WAIT_SOF.</t>
        </is>
      </c>
      <c r="D9" s="14" t="inlineStr">
        <is>
          <t>Functional</t>
        </is>
      </c>
      <c r="E9" s="15" t="inlineStr">
        <is>
          <t>SWC-ISR</t>
        </is>
      </c>
      <c r="F9" s="15" t="inlineStr">
        <is>
          <t>SYS-REQ-006</t>
        </is>
      </c>
      <c r="G9" s="15" t="inlineStr">
        <is>
          <t>Avoids frame shift after a lost byte.</t>
        </is>
      </c>
      <c r="H9" s="16" t="inlineStr">
        <is>
          <t>High</t>
        </is>
      </c>
      <c r="I9" s="16" t="inlineStr">
        <is>
          <t>Accepted</t>
        </is>
      </c>
      <c r="J9" s="16" t="inlineStr">
        <is>
          <t>Test</t>
        </is>
      </c>
      <c r="K9" s="15" t="inlineStr">
        <is>
          <t>Partial frame followed by a valid frame: only the valid frame is answered.</t>
        </is>
      </c>
      <c r="L9" s="15" t="inlineStr">
        <is>
          <t>TC-08</t>
        </is>
      </c>
      <c r="M9" s="14" t="inlineStr">
        <is>
          <t>R1.0</t>
        </is>
      </c>
      <c r="N9" s="14">
        <f>IF(ISNUMBER(MATCH(LEFT(F9,11),'System Requirements'!$A$5:$A$13,0)),"OK","MISSING")</f>
        <v/>
      </c>
      <c r="O9" s="15" t="inlineStr"/>
    </row>
    <row r="10">
      <c r="A10" s="17" t="inlineStr">
        <is>
          <t>SW-REQ-006</t>
        </is>
      </c>
      <c r="B10" s="18" t="inlineStr">
        <is>
          <t>UART error recovery</t>
        </is>
      </c>
      <c r="C10" s="18" t="inlineStr">
        <is>
          <t>On a UART error (overrun, noise, framing), the firmware shall reset the state machine to WAIT_SOF and re-arm reception.</t>
        </is>
      </c>
      <c r="D10" s="17" t="inlineStr">
        <is>
          <t>Functional</t>
        </is>
      </c>
      <c r="E10" s="18" t="inlineStr">
        <is>
          <t>SWC-ISR</t>
        </is>
      </c>
      <c r="F10" s="18" t="inlineStr">
        <is>
          <t>SYS-REQ-006</t>
        </is>
      </c>
      <c r="G10" s="18" t="inlineStr">
        <is>
          <t>Reception must never stop.</t>
        </is>
      </c>
      <c r="H10" s="16" t="inlineStr">
        <is>
          <t>High</t>
        </is>
      </c>
      <c r="I10" s="16" t="inlineStr">
        <is>
          <t>Accepted</t>
        </is>
      </c>
      <c r="J10" s="16" t="inlineStr">
        <is>
          <t>Test</t>
        </is>
      </c>
      <c r="K10" s="18" t="inlineStr">
        <is>
          <t>Link answers PING after disconnect / reconnect.</t>
        </is>
      </c>
      <c r="L10" s="18" t="inlineStr">
        <is>
          <t>TC-10</t>
        </is>
      </c>
      <c r="M10" s="17" t="inlineStr">
        <is>
          <t>R1.0</t>
        </is>
      </c>
      <c r="N10" s="17">
        <f>IF(ISNUMBER(MATCH(LEFT(F10,11),'System Requirements'!$A$5:$A$13,0)),"OK","MISSING")</f>
        <v/>
      </c>
      <c r="O10" s="18" t="inlineStr"/>
    </row>
    <row r="11">
      <c r="A11" s="14" t="inlineStr">
        <is>
          <t>SW-REQ-007</t>
        </is>
      </c>
      <c r="B11" s="15" t="inlineStr">
        <is>
          <t>LinkLayer task</t>
        </is>
      </c>
      <c r="C11" s="15" t="inlineStr">
        <is>
          <t>A LinkLayer task shall block on QueueFrame without timeout and process the frames in arrival order.</t>
        </is>
      </c>
      <c r="D11" s="14" t="inlineStr">
        <is>
          <t>Functional</t>
        </is>
      </c>
      <c r="E11" s="15" t="inlineStr">
        <is>
          <t>SWC-LL</t>
        </is>
      </c>
      <c r="F11" s="15" t="inlineStr">
        <is>
          <t>SYS-REQ-005</t>
        </is>
      </c>
      <c r="G11" s="15" t="inlineStr">
        <is>
          <t>Event-driven processing, no CPU while idle.</t>
        </is>
      </c>
      <c r="H11" s="16" t="inlineStr">
        <is>
          <t>High</t>
        </is>
      </c>
      <c r="I11" s="16" t="inlineStr">
        <is>
          <t>Accepted</t>
        </is>
      </c>
      <c r="J11" s="16" t="inlineStr">
        <is>
          <t>Test</t>
        </is>
      </c>
      <c r="K11" s="15" t="inlineStr">
        <is>
          <t>Burst of 20 frames answered in order.</t>
        </is>
      </c>
      <c r="L11" s="15" t="inlineStr">
        <is>
          <t>TC-01, TC-09</t>
        </is>
      </c>
      <c r="M11" s="14" t="inlineStr">
        <is>
          <t>R1.0</t>
        </is>
      </c>
      <c r="N11" s="14">
        <f>IF(ISNUMBER(MATCH(LEFT(F11,11),'System Requirements'!$A$5:$A$13,0)),"OK","MISSING")</f>
        <v/>
      </c>
      <c r="O11" s="15" t="inlineStr"/>
    </row>
    <row r="12">
      <c r="A12" s="17" t="inlineStr">
        <is>
          <t>SW-REQ-008</t>
        </is>
      </c>
      <c r="B12" s="18" t="inlineStr">
        <is>
          <t>PING command</t>
        </is>
      </c>
      <c r="C12" s="18" t="inlineStr">
        <is>
          <t>On CMD 0x01 the firmware shall answer with DATA equal to the request DATA.</t>
        </is>
      </c>
      <c r="D12" s="17" t="inlineStr">
        <is>
          <t>Functional</t>
        </is>
      </c>
      <c r="E12" s="18" t="inlineStr">
        <is>
          <t>SWC-DEC</t>
        </is>
      </c>
      <c r="F12" s="18" t="inlineStr">
        <is>
          <t>SYS-REQ-003</t>
        </is>
      </c>
      <c r="G12" s="18" t="inlineStr">
        <is>
          <t>Link test.</t>
        </is>
      </c>
      <c r="H12" s="16" t="inlineStr">
        <is>
          <t>High</t>
        </is>
      </c>
      <c r="I12" s="16" t="inlineStr">
        <is>
          <t>Accepted</t>
        </is>
      </c>
      <c r="J12" s="16" t="inlineStr">
        <is>
          <t>Test</t>
        </is>
      </c>
      <c r="K12" s="18" t="inlineStr">
        <is>
          <t>AA 01 55 -&gt; AA 81 55</t>
        </is>
      </c>
      <c r="L12" s="18" t="inlineStr">
        <is>
          <t>TC-01</t>
        </is>
      </c>
      <c r="M12" s="17" t="inlineStr">
        <is>
          <t>R1.0</t>
        </is>
      </c>
      <c r="N12" s="17">
        <f>IF(ISNUMBER(MATCH(LEFT(F12,11),'System Requirements'!$A$5:$A$13,0)),"OK","MISSING")</f>
        <v/>
      </c>
      <c r="O12" s="18" t="inlineStr"/>
    </row>
    <row r="13">
      <c r="A13" s="14" t="inlineStr">
        <is>
          <t>SW-REQ-009</t>
        </is>
      </c>
      <c r="B13" s="15" t="inlineStr">
        <is>
          <t>LED_SET command</t>
        </is>
      </c>
      <c r="C13" s="15" t="inlineStr">
        <is>
          <t>On CMD 0x02 the firmware shall set LED PD12+i on when bit i (0..3) of DATA is 1 and off when it is 0, and answer 0x00 (OK).</t>
        </is>
      </c>
      <c r="D13" s="14" t="inlineStr">
        <is>
          <t>Functional</t>
        </is>
      </c>
      <c r="E13" s="15" t="inlineStr">
        <is>
          <t>SWC-DEC</t>
        </is>
      </c>
      <c r="F13" s="15" t="inlineStr">
        <is>
          <t>SYS-REQ-001</t>
        </is>
      </c>
      <c r="G13" s="15" t="inlineStr">
        <is>
          <t>Set all LEDs in one frame.</t>
        </is>
      </c>
      <c r="H13" s="16" t="inlineStr">
        <is>
          <t>High</t>
        </is>
      </c>
      <c r="I13" s="16" t="inlineStr">
        <is>
          <t>Accepted</t>
        </is>
      </c>
      <c r="J13" s="16" t="inlineStr">
        <is>
          <t>Test</t>
        </is>
      </c>
      <c r="K13" s="15" t="inlineStr">
        <is>
          <t>AA 02 05 -&gt; AA 82 00, PD12 and PD14 on.</t>
        </is>
      </c>
      <c r="L13" s="15" t="inlineStr">
        <is>
          <t>TC-02</t>
        </is>
      </c>
      <c r="M13" s="14" t="inlineStr">
        <is>
          <t>R1.0</t>
        </is>
      </c>
      <c r="N13" s="14">
        <f>IF(ISNUMBER(MATCH(LEFT(F13,11),'System Requirements'!$A$5:$A$13,0)),"OK","MISSING")</f>
        <v/>
      </c>
      <c r="O13" s="15" t="inlineStr"/>
    </row>
    <row r="14">
      <c r="A14" s="17" t="inlineStr">
        <is>
          <t>SW-REQ-010</t>
        </is>
      </c>
      <c r="B14" s="18" t="inlineStr">
        <is>
          <t>LED_TOGGLE command</t>
        </is>
      </c>
      <c r="C14" s="18" t="inlineStr">
        <is>
          <t>On CMD 0x03 with DATA 0..3 the firmware shall toggle LED PD12+DATA and answer 0x00 (OK).</t>
        </is>
      </c>
      <c r="D14" s="17" t="inlineStr">
        <is>
          <t>Functional</t>
        </is>
      </c>
      <c r="E14" s="18" t="inlineStr">
        <is>
          <t>SWC-DEC</t>
        </is>
      </c>
      <c r="F14" s="18" t="inlineStr">
        <is>
          <t>SYS-REQ-001</t>
        </is>
      </c>
      <c r="G14" s="18" t="inlineStr">
        <is>
          <t>Single LED control.</t>
        </is>
      </c>
      <c r="H14" s="16" t="inlineStr">
        <is>
          <t>High</t>
        </is>
      </c>
      <c r="I14" s="16" t="inlineStr">
        <is>
          <t>Accepted</t>
        </is>
      </c>
      <c r="J14" s="16" t="inlineStr">
        <is>
          <t>Test</t>
        </is>
      </c>
      <c r="K14" s="18" t="inlineStr">
        <is>
          <t>AA 03 03 -&gt; AA 83 00, PD15 toggles.</t>
        </is>
      </c>
      <c r="L14" s="18" t="inlineStr">
        <is>
          <t>TC-03</t>
        </is>
      </c>
      <c r="M14" s="17" t="inlineStr">
        <is>
          <t>R1.0</t>
        </is>
      </c>
      <c r="N14" s="17">
        <f>IF(ISNUMBER(MATCH(LEFT(F14,11),'System Requirements'!$A$5:$A$13,0)),"OK","MISSING")</f>
        <v/>
      </c>
      <c r="O14" s="18" t="inlineStr"/>
    </row>
    <row r="15">
      <c r="A15" s="14" t="inlineStr">
        <is>
          <t>SW-REQ-011</t>
        </is>
      </c>
      <c r="B15" s="15" t="inlineStr">
        <is>
          <t>GET_BUTTON command</t>
        </is>
      </c>
      <c r="C15" s="15" t="inlineStr">
        <is>
          <t>On CMD 0x04 the firmware shall answer DATA = 1 when the user button is pressed and 0 when released.</t>
        </is>
      </c>
      <c r="D15" s="14" t="inlineStr">
        <is>
          <t>Functional</t>
        </is>
      </c>
      <c r="E15" s="15" t="inlineStr">
        <is>
          <t>SWC-DEC</t>
        </is>
      </c>
      <c r="F15" s="15" t="inlineStr">
        <is>
          <t>SYS-REQ-002</t>
        </is>
      </c>
      <c r="G15" s="15" t="inlineStr">
        <is>
          <t>Input read-back.</t>
        </is>
      </c>
      <c r="H15" s="16" t="inlineStr">
        <is>
          <t>Medium</t>
        </is>
      </c>
      <c r="I15" s="16" t="inlineStr">
        <is>
          <t>Accepted</t>
        </is>
      </c>
      <c r="J15" s="16" t="inlineStr">
        <is>
          <t>Test</t>
        </is>
      </c>
      <c r="K15" s="15" t="inlineStr">
        <is>
          <t>Button held: AA 84 01; released: AA 84 00.</t>
        </is>
      </c>
      <c r="L15" s="15" t="inlineStr">
        <is>
          <t>TC-06</t>
        </is>
      </c>
      <c r="M15" s="14" t="inlineStr">
        <is>
          <t>R1.0</t>
        </is>
      </c>
      <c r="N15" s="14">
        <f>IF(ISNUMBER(MATCH(LEFT(F15,11),'System Requirements'!$A$5:$A$13,0)),"OK","MISSING")</f>
        <v/>
      </c>
      <c r="O15" s="15" t="inlineStr"/>
    </row>
    <row r="16">
      <c r="A16" s="17" t="inlineStr">
        <is>
          <t>SW-REQ-012</t>
        </is>
      </c>
      <c r="B16" s="18" t="inlineStr">
        <is>
          <t>Unknown command</t>
        </is>
      </c>
      <c r="C16" s="18" t="inlineStr">
        <is>
          <t>On any CMD not defined in the interface specification the firmware shall answer 0xE1 (BAD_CMD) and perform no action.</t>
        </is>
      </c>
      <c r="D16" s="17" t="inlineStr">
        <is>
          <t>Functional</t>
        </is>
      </c>
      <c r="E16" s="18" t="inlineStr">
        <is>
          <t>SWC-DEC</t>
        </is>
      </c>
      <c r="F16" s="18" t="inlineStr">
        <is>
          <t>SYS-REQ-005</t>
        </is>
      </c>
      <c r="G16" s="18" t="inlineStr">
        <is>
          <t>Host is informed of protocol errors.</t>
        </is>
      </c>
      <c r="H16" s="16" t="inlineStr">
        <is>
          <t>High</t>
        </is>
      </c>
      <c r="I16" s="16" t="inlineStr">
        <is>
          <t>Accepted</t>
        </is>
      </c>
      <c r="J16" s="16" t="inlineStr">
        <is>
          <t>Test</t>
        </is>
      </c>
      <c r="K16" s="18" t="inlineStr">
        <is>
          <t>AA 42 00 -&gt; AA C2 E1</t>
        </is>
      </c>
      <c r="L16" s="18" t="inlineStr">
        <is>
          <t>TC-05</t>
        </is>
      </c>
      <c r="M16" s="17" t="inlineStr">
        <is>
          <t>R1.0</t>
        </is>
      </c>
      <c r="N16" s="17">
        <f>IF(ISNUMBER(MATCH(LEFT(F16,11),'System Requirements'!$A$5:$A$13,0)),"OK","MISSING")</f>
        <v/>
      </c>
      <c r="O16" s="18" t="inlineStr"/>
    </row>
    <row r="17">
      <c r="A17" s="14" t="inlineStr">
        <is>
          <t>SW-REQ-013</t>
        </is>
      </c>
      <c r="B17" s="15" t="inlineStr">
        <is>
          <t>Parameter range check</t>
        </is>
      </c>
      <c r="C17" s="15" t="inlineStr">
        <is>
          <t>On LED_TOGGLE with DATA &gt; 3 the firmware shall answer 0xE2 (BAD_DATA) and perform no action.</t>
        </is>
      </c>
      <c r="D17" s="14" t="inlineStr">
        <is>
          <t>Functional</t>
        </is>
      </c>
      <c r="E17" s="15" t="inlineStr">
        <is>
          <t>SWC-DEC</t>
        </is>
      </c>
      <c r="F17" s="15" t="inlineStr">
        <is>
          <t>SYS-REQ-005</t>
        </is>
      </c>
      <c r="G17" s="15" t="inlineStr">
        <is>
          <t>Defensive parameter check.</t>
        </is>
      </c>
      <c r="H17" s="16" t="inlineStr">
        <is>
          <t>High</t>
        </is>
      </c>
      <c r="I17" s="16" t="inlineStr">
        <is>
          <t>Accepted</t>
        </is>
      </c>
      <c r="J17" s="16" t="inlineStr">
        <is>
          <t>Test</t>
        </is>
      </c>
      <c r="K17" s="15" t="inlineStr">
        <is>
          <t>AA 03 07 -&gt; AA 83 E2, no LED change.</t>
        </is>
      </c>
      <c r="L17" s="15" t="inlineStr">
        <is>
          <t>TC-04</t>
        </is>
      </c>
      <c r="M17" s="14" t="inlineStr">
        <is>
          <t>R1.0</t>
        </is>
      </c>
      <c r="N17" s="14">
        <f>IF(ISNUMBER(MATCH(LEFT(F17,11),'System Requirements'!$A$5:$A$13,0)),"OK","MISSING")</f>
        <v/>
      </c>
      <c r="O17" s="15" t="inlineStr"/>
    </row>
    <row r="18">
      <c r="A18" s="17" t="inlineStr">
        <is>
          <t>SW-REQ-014</t>
        </is>
      </c>
      <c r="B18" s="18" t="inlineStr">
        <is>
          <t>One response per frame</t>
        </is>
      </c>
      <c r="C18" s="18" t="inlineStr">
        <is>
          <t>The LinkLayer task shall send exactly one response frame for each frame read from QueueFrame.</t>
        </is>
      </c>
      <c r="D18" s="17" t="inlineStr">
        <is>
          <t>Functional</t>
        </is>
      </c>
      <c r="E18" s="18" t="inlineStr">
        <is>
          <t>SWC-LL, SWC-TX</t>
        </is>
      </c>
      <c r="F18" s="18" t="inlineStr">
        <is>
          <t>SYS-REQ-005</t>
        </is>
      </c>
      <c r="G18" s="18" t="inlineStr">
        <is>
          <t>Deterministic request / response.</t>
        </is>
      </c>
      <c r="H18" s="16" t="inlineStr">
        <is>
          <t>High</t>
        </is>
      </c>
      <c r="I18" s="16" t="inlineStr">
        <is>
          <t>Accepted</t>
        </is>
      </c>
      <c r="J18" s="16" t="inlineStr">
        <is>
          <t>Test</t>
        </is>
      </c>
      <c r="K18" s="18" t="inlineStr">
        <is>
          <t>Number of responses equals number of requests.</t>
        </is>
      </c>
      <c r="L18" s="18" t="inlineStr">
        <is>
          <t>TC-01, TC-05, TC-09</t>
        </is>
      </c>
      <c r="M18" s="17" t="inlineStr">
        <is>
          <t>R1.0</t>
        </is>
      </c>
      <c r="N18" s="17">
        <f>IF(ISNUMBER(MATCH(LEFT(F18,11),'System Requirements'!$A$5:$A$13,0)),"OK","MISSING")</f>
        <v/>
      </c>
      <c r="O18" s="18" t="inlineStr"/>
    </row>
    <row r="19">
      <c r="A19" s="14" t="inlineStr">
        <is>
          <t>SW-REQ-015</t>
        </is>
      </c>
      <c r="B19" s="15" t="inlineStr">
        <is>
          <t>Response frame format</t>
        </is>
      </c>
      <c r="C19" s="15" t="inlineStr">
        <is>
          <t>A response frame shall be SOF 0xAA, CMD = request CMD OR 0x80, DATA = status or requested value.</t>
        </is>
      </c>
      <c r="D19" s="14" t="inlineStr">
        <is>
          <t>Interface</t>
        </is>
      </c>
      <c r="E19" s="15" t="inlineStr">
        <is>
          <t>SWC-TX</t>
        </is>
      </c>
      <c r="F19" s="15" t="inlineStr">
        <is>
          <t>SYS-REQ-004</t>
        </is>
      </c>
      <c r="G19" s="15" t="inlineStr">
        <is>
          <t>Host distinguishes responses from requests.</t>
        </is>
      </c>
      <c r="H19" s="16" t="inlineStr">
        <is>
          <t>High</t>
        </is>
      </c>
      <c r="I19" s="16" t="inlineStr">
        <is>
          <t>Accepted</t>
        </is>
      </c>
      <c r="J19" s="16" t="inlineStr">
        <is>
          <t>Test</t>
        </is>
      </c>
      <c r="K19" s="15" t="inlineStr">
        <is>
          <t>Bit 7 of response CMD set in all responses.</t>
        </is>
      </c>
      <c r="L19" s="15" t="inlineStr">
        <is>
          <t>TC-01</t>
        </is>
      </c>
      <c r="M19" s="14" t="inlineStr">
        <is>
          <t>R1.0</t>
        </is>
      </c>
      <c r="N19" s="14">
        <f>IF(ISNUMBER(MATCH(LEFT(F19,11),'System Requirements'!$A$5:$A$13,0)),"OK","MISSING")</f>
        <v/>
      </c>
      <c r="O19" s="15" t="inlineStr"/>
    </row>
    <row r="20">
      <c r="A20" s="17" t="inlineStr">
        <is>
          <t>SW-REQ-016</t>
        </is>
      </c>
      <c r="B20" s="18" t="inlineStr">
        <is>
          <t>Frame trace</t>
        </is>
      </c>
      <c r="C20" s="18" t="inlineStr">
        <is>
          <t>The LinkLayer task shall print one ASCII log line per received frame containing CMD and DATA in hexadecimal.</t>
        </is>
      </c>
      <c r="D20" s="17" t="inlineStr">
        <is>
          <t>Functional</t>
        </is>
      </c>
      <c r="E20" s="18" t="inlineStr">
        <is>
          <t>SWC-LL</t>
        </is>
      </c>
      <c r="F20" s="18" t="inlineStr">
        <is>
          <t>SYS-REQ-009</t>
        </is>
      </c>
      <c r="G20" s="18" t="inlineStr">
        <is>
          <t>Debugging aid.</t>
        </is>
      </c>
      <c r="H20" s="16" t="inlineStr">
        <is>
          <t>Low</t>
        </is>
      </c>
      <c r="I20" s="16" t="inlineStr">
        <is>
          <t>Accepted</t>
        </is>
      </c>
      <c r="J20" s="16" t="inlineStr">
        <is>
          <t>Test</t>
        </is>
      </c>
      <c r="K20" s="18" t="inlineStr">
        <is>
          <t>Log line 'RX frame CMD=0x.. DATA=0x..' visible in GUI.</t>
        </is>
      </c>
      <c r="L20" s="18" t="inlineStr">
        <is>
          <t>TC-01</t>
        </is>
      </c>
      <c r="M20" s="17" t="inlineStr">
        <is>
          <t>R1.0</t>
        </is>
      </c>
      <c r="N20" s="17">
        <f>IF(ISNUMBER(MATCH(LEFT(F20,11),'System Requirements'!$A$5:$A$13,0)),"OK","MISSING")</f>
        <v/>
      </c>
      <c r="O20" s="18" t="inlineStr"/>
    </row>
    <row r="21">
      <c r="A21" s="14" t="inlineStr">
        <is>
          <t>SW-REQ-017</t>
        </is>
      </c>
      <c r="B21" s="15" t="inlineStr">
        <is>
          <t>ISR constraints</t>
        </is>
      </c>
      <c r="C21" s="15" t="inlineStr">
        <is>
          <t>The UART RX callback shall not block and shall call only FreeRTOS API functions ending in FromISR.</t>
        </is>
      </c>
      <c r="D21" s="14" t="inlineStr">
        <is>
          <t>Non-functional</t>
        </is>
      </c>
      <c r="E21" s="15" t="inlineStr">
        <is>
          <t>SWC-ISR</t>
        </is>
      </c>
      <c r="F21" s="15" t="inlineStr">
        <is>
          <t>SYS-REQ-008</t>
        </is>
      </c>
      <c r="G21" s="15" t="inlineStr">
        <is>
          <t>RTOS rule for interrupt context.</t>
        </is>
      </c>
      <c r="H21" s="16" t="inlineStr">
        <is>
          <t>High</t>
        </is>
      </c>
      <c r="I21" s="16" t="inlineStr">
        <is>
          <t>Accepted</t>
        </is>
      </c>
      <c r="J21" s="16" t="inlineStr">
        <is>
          <t>Review</t>
        </is>
      </c>
      <c r="K21" s="15" t="inlineStr">
        <is>
          <t>Code review checklist item passed.</t>
        </is>
      </c>
      <c r="L21" s="15" t="inlineStr">
        <is>
          <t>TC-15</t>
        </is>
      </c>
      <c r="M21" s="14" t="inlineStr">
        <is>
          <t>R1.0</t>
        </is>
      </c>
      <c r="N21" s="14">
        <f>IF(ISNUMBER(MATCH(LEFT(F21,11),'System Requirements'!$A$5:$A$13,0)),"OK","MISSING")</f>
        <v/>
      </c>
      <c r="O21" s="15" t="inlineStr"/>
    </row>
    <row r="22">
      <c r="A22" s="17" t="inlineStr">
        <is>
          <t>SW-REQ-018</t>
        </is>
      </c>
      <c r="B22" s="18" t="inlineStr">
        <is>
          <t>Interrupt priority</t>
        </is>
      </c>
      <c r="C22" s="18" t="inlineStr">
        <is>
          <t>The USART2 interrupt priority shall be numerically greater than or equal to configLIBRARY_MAX_SYSCALL_INTERRUPT_PRIORITY (5).</t>
        </is>
      </c>
      <c r="D22" s="17" t="inlineStr">
        <is>
          <t>Constraint</t>
        </is>
      </c>
      <c r="E22" s="18" t="inlineStr">
        <is>
          <t>SWC-CFG</t>
        </is>
      </c>
      <c r="F22" s="18" t="inlineStr">
        <is>
          <t>SYS-REQ-008</t>
        </is>
      </c>
      <c r="G22" s="18" t="inlineStr">
        <is>
          <t>FromISR calls are only allowed below the syscall priority.</t>
        </is>
      </c>
      <c r="H22" s="16" t="inlineStr">
        <is>
          <t>High</t>
        </is>
      </c>
      <c r="I22" s="16" t="inlineStr">
        <is>
          <t>Accepted</t>
        </is>
      </c>
      <c r="J22" s="16" t="inlineStr">
        <is>
          <t>Inspection</t>
        </is>
      </c>
      <c r="K22" s="18" t="inlineStr">
        <is>
          <t>HAL_NVIC_SetPriority(USART2_IRQn, 5, 0) in stm32f4xx_hal_msp.c.</t>
        </is>
      </c>
      <c r="L22" s="18" t="inlineStr">
        <is>
          <t>TC-16</t>
        </is>
      </c>
      <c r="M22" s="17" t="inlineStr">
        <is>
          <t>R1.0</t>
        </is>
      </c>
      <c r="N22" s="17">
        <f>IF(ISNUMBER(MATCH(LEFT(F22,11),'System Requirements'!$A$5:$A$13,0)),"OK","MISSING")</f>
        <v/>
      </c>
      <c r="O22" s="18" t="inlineStr"/>
    </row>
    <row r="23">
      <c r="A23" s="14" t="inlineStr">
        <is>
          <t>SW-REQ-019</t>
        </is>
      </c>
      <c r="B23" s="15" t="inlineStr">
        <is>
          <t>Response time</t>
        </is>
      </c>
      <c r="C23" s="15" t="inlineStr">
        <is>
          <t>The response frame shall start within 20 ms after the last byte of the request, trace output included.</t>
        </is>
      </c>
      <c r="D23" s="14" t="inlineStr">
        <is>
          <t>Performance</t>
        </is>
      </c>
      <c r="E23" s="15" t="inlineStr">
        <is>
          <t>SWC-LL, SWC-TX</t>
        </is>
      </c>
      <c r="F23" s="15" t="inlineStr">
        <is>
          <t>SYS-REQ-008</t>
        </is>
      </c>
      <c r="G23" s="15" t="inlineStr">
        <is>
          <t>Interactive use.</t>
        </is>
      </c>
      <c r="H23" s="16" t="inlineStr">
        <is>
          <t>Medium</t>
        </is>
      </c>
      <c r="I23" s="16" t="inlineStr">
        <is>
          <t>Accepted</t>
        </is>
      </c>
      <c r="J23" s="16" t="inlineStr">
        <is>
          <t>Test</t>
        </is>
      </c>
      <c r="K23" s="15" t="inlineStr">
        <is>
          <t>Measured delay &lt; 20 ms with logic analyser.</t>
        </is>
      </c>
      <c r="L23" s="15" t="inlineStr">
        <is>
          <t>TC-13</t>
        </is>
      </c>
      <c r="M23" s="14" t="inlineStr">
        <is>
          <t>R1.0</t>
        </is>
      </c>
      <c r="N23" s="14">
        <f>IF(ISNUMBER(MATCH(LEFT(F23,11),'System Requirements'!$A$5:$A$13,0)),"OK","MISSING")</f>
        <v/>
      </c>
      <c r="O23" s="15" t="inlineStr"/>
    </row>
    <row r="24">
      <c r="A24" s="17" t="inlineStr">
        <is>
          <t>SW-REQ-020</t>
        </is>
      </c>
      <c r="B24" s="18" t="inlineStr">
        <is>
          <t>Queue capacity</t>
        </is>
      </c>
      <c r="C24" s="18" t="inlineStr">
        <is>
          <t>QueueFrame shall hold at least 8 frames; when full, a new frame shall be dropped without corrupting the queue.</t>
        </is>
      </c>
      <c r="D24" s="17" t="inlineStr">
        <is>
          <t>Non-functional</t>
        </is>
      </c>
      <c r="E24" s="18" t="inlineStr">
        <is>
          <t>SWC-QUEUE</t>
        </is>
      </c>
      <c r="F24" s="18" t="inlineStr">
        <is>
          <t>SYS-REQ-006</t>
        </is>
      </c>
      <c r="G24" s="18" t="inlineStr">
        <is>
          <t>Absorbs bursts while the task logs.</t>
        </is>
      </c>
      <c r="H24" s="16" t="inlineStr">
        <is>
          <t>Medium</t>
        </is>
      </c>
      <c r="I24" s="16" t="inlineStr">
        <is>
          <t>Accepted</t>
        </is>
      </c>
      <c r="J24" s="16" t="inlineStr">
        <is>
          <t>Test</t>
        </is>
      </c>
      <c r="K24" s="18" t="inlineStr">
        <is>
          <t>Burst of 20 frames: no crash, all answered or dropped cleanly.</t>
        </is>
      </c>
      <c r="L24" s="18" t="inlineStr">
        <is>
          <t>TC-09</t>
        </is>
      </c>
      <c r="M24" s="17" t="inlineStr">
        <is>
          <t>R1.0</t>
        </is>
      </c>
      <c r="N24" s="17">
        <f>IF(ISNUMBER(MATCH(LEFT(F24,11),'System Requirements'!$A$5:$A$13,0)),"OK","MISSING")</f>
        <v/>
      </c>
      <c r="O24" s="18" t="inlineStr"/>
    </row>
    <row r="25">
      <c r="A25" s="14" t="inlineStr">
        <is>
          <t>SW-REQ-021</t>
        </is>
      </c>
      <c r="B25" s="15" t="inlineStr">
        <is>
          <t>UART mutual exclusion</t>
        </is>
      </c>
      <c r="C25" s="15" t="inlineStr">
        <is>
          <t>Response frames and printf output shall access the UART under the mutex xUartMutex so that their bytes never interleave.</t>
        </is>
      </c>
      <c r="D25" s="14" t="inlineStr">
        <is>
          <t>Non-functional</t>
        </is>
      </c>
      <c r="E25" s="15" t="inlineStr">
        <is>
          <t>SWC-TX, SWC-CFG</t>
        </is>
      </c>
      <c r="F25" s="15" t="inlineStr">
        <is>
          <t>SYS-REQ-004</t>
        </is>
      </c>
      <c r="G25" s="15" t="inlineStr">
        <is>
          <t>UART shared by log and protocol.</t>
        </is>
      </c>
      <c r="H25" s="16" t="inlineStr">
        <is>
          <t>High</t>
        </is>
      </c>
      <c r="I25" s="16" t="inlineStr">
        <is>
          <t>Accepted</t>
        </is>
      </c>
      <c r="J25" s="16" t="inlineStr">
        <is>
          <t>Test</t>
        </is>
      </c>
      <c r="K25" s="15" t="inlineStr">
        <is>
          <t>No corrupted response while the board logs.</t>
        </is>
      </c>
      <c r="L25" s="15" t="inlineStr">
        <is>
          <t>TC-11</t>
        </is>
      </c>
      <c r="M25" s="14" t="inlineStr">
        <is>
          <t>R1.0</t>
        </is>
      </c>
      <c r="N25" s="14">
        <f>IF(ISNUMBER(MATCH(LEFT(F25,11),'System Requirements'!$A$5:$A$13,0)),"OK","MISSING")</f>
        <v/>
      </c>
      <c r="O25" s="15" t="inlineStr"/>
    </row>
    <row r="26">
      <c r="A26" s="17" t="inlineStr">
        <is>
          <t>SW-REQ-022</t>
        </is>
      </c>
      <c r="B26" s="18" t="inlineStr">
        <is>
          <t>Log character set</t>
        </is>
      </c>
      <c r="C26" s="18" t="inlineStr">
        <is>
          <t>The firmware log output shall contain only ASCII characters below 0x80, so that SOF 0xAA never appears in it.</t>
        </is>
      </c>
      <c r="D26" s="17" t="inlineStr">
        <is>
          <t>Constraint</t>
        </is>
      </c>
      <c r="E26" s="18" t="inlineStr">
        <is>
          <t>SWC-LL</t>
        </is>
      </c>
      <c r="F26" s="18" t="inlineStr">
        <is>
          <t>SYS-REQ-006</t>
        </is>
      </c>
      <c r="G26" s="18" t="inlineStr">
        <is>
          <t>Host resynchronises on SOF.</t>
        </is>
      </c>
      <c r="H26" s="16" t="inlineStr">
        <is>
          <t>Medium</t>
        </is>
      </c>
      <c r="I26" s="16" t="inlineStr">
        <is>
          <t>Accepted</t>
        </is>
      </c>
      <c r="J26" s="16" t="inlineStr">
        <is>
          <t>Review</t>
        </is>
      </c>
      <c r="K26" s="18" t="inlineStr">
        <is>
          <t>Review of all LOG_INFO strings.</t>
        </is>
      </c>
      <c r="L26" s="18" t="inlineStr">
        <is>
          <t>TC-11, TC-15</t>
        </is>
      </c>
      <c r="M26" s="17" t="inlineStr">
        <is>
          <t>R1.0</t>
        </is>
      </c>
      <c r="N26" s="17">
        <f>IF(ISNUMBER(MATCH(LEFT(F26,11),'System Requirements'!$A$5:$A$13,0)),"OK","MISSING")</f>
        <v/>
      </c>
      <c r="O26" s="18" t="inlineStr"/>
    </row>
    <row r="27">
      <c r="A27" s="14" t="inlineStr">
        <is>
          <t>SW-REQ-023</t>
        </is>
      </c>
      <c r="B27" s="15" t="inlineStr">
        <is>
          <t>Task resources</t>
        </is>
      </c>
      <c r="C27" s="15" t="inlineStr">
        <is>
          <t>The LinkLayer task shall be created with a 256-word stack and priority 3; the stack high-water mark shall stay above 32 words.</t>
        </is>
      </c>
      <c r="D27" s="14" t="inlineStr">
        <is>
          <t>Non-functional</t>
        </is>
      </c>
      <c r="E27" s="15" t="inlineStr">
        <is>
          <t>SWC-LL</t>
        </is>
      </c>
      <c r="F27" s="15" t="inlineStr">
        <is>
          <t>SYS-REQ-008</t>
        </is>
      </c>
      <c r="G27" s="15" t="inlineStr">
        <is>
          <t>Margin for printf in task context.</t>
        </is>
      </c>
      <c r="H27" s="16" t="inlineStr">
        <is>
          <t>Medium</t>
        </is>
      </c>
      <c r="I27" s="16" t="inlineStr">
        <is>
          <t>Accepted</t>
        </is>
      </c>
      <c r="J27" s="16" t="inlineStr">
        <is>
          <t>Analysis</t>
        </is>
      </c>
      <c r="K27" s="15" t="inlineStr">
        <is>
          <t>uxTaskGetStackHighWaterMark() &gt; 32 after TC-09.</t>
        </is>
      </c>
      <c r="L27" s="15" t="inlineStr">
        <is>
          <t>TC-14</t>
        </is>
      </c>
      <c r="M27" s="14" t="inlineStr">
        <is>
          <t>R1.0</t>
        </is>
      </c>
      <c r="N27" s="14">
        <f>IF(ISNUMBER(MATCH(LEFT(F27,11),'System Requirements'!$A$5:$A$13,0)),"OK","MISSING")</f>
        <v/>
      </c>
      <c r="O27" s="15" t="inlineStr"/>
    </row>
    <row r="28">
      <c r="A28" s="17" t="inlineStr">
        <is>
          <t>SW-REQ-024</t>
        </is>
      </c>
      <c r="B28" s="18" t="inlineStr">
        <is>
          <t>Build selection</t>
        </is>
      </c>
      <c r="C28" s="18" t="inlineStr">
        <is>
          <t>APK5 code shall be compiled only when the macro APK5 is defined in main.h, without modifying the other labs.</t>
        </is>
      </c>
      <c r="D28" s="17" t="inlineStr">
        <is>
          <t>Constraint</t>
        </is>
      </c>
      <c r="E28" s="18" t="inlineStr">
        <is>
          <t>SWC-CFG</t>
        </is>
      </c>
      <c r="F28" s="18" t="inlineStr">
        <is>
          <t>SYS-REQ-004</t>
        </is>
      </c>
      <c r="G28" s="18" t="inlineStr">
        <is>
          <t>Several labs share one project.</t>
        </is>
      </c>
      <c r="H28" s="16" t="inlineStr">
        <is>
          <t>Low</t>
        </is>
      </c>
      <c r="I28" s="16" t="inlineStr">
        <is>
          <t>Accepted</t>
        </is>
      </c>
      <c r="J28" s="16" t="inlineStr">
        <is>
          <t>Inspection</t>
        </is>
      </c>
      <c r="K28" s="18" t="inlineStr">
        <is>
          <t>#ifdef APK5 guards the whole apk5.c.</t>
        </is>
      </c>
      <c r="L28" s="18" t="inlineStr">
        <is>
          <t>TC-16</t>
        </is>
      </c>
      <c r="M28" s="17" t="inlineStr">
        <is>
          <t>R1.0</t>
        </is>
      </c>
      <c r="N28" s="17">
        <f>IF(ISNUMBER(MATCH(LEFT(F28,11),'System Requirements'!$A$5:$A$13,0)),"OK","MISSING")</f>
        <v/>
      </c>
      <c r="O28" s="18" t="inlineStr"/>
    </row>
    <row r="29">
      <c r="A29" s="14" t="inlineStr">
        <is>
          <t>SW-REQ-025</t>
        </is>
      </c>
      <c r="B29" s="15" t="inlineStr">
        <is>
          <t>Extensibility</t>
        </is>
      </c>
      <c r="C29" s="15" t="inlineStr">
        <is>
          <t>Adding a command shall require only a new CMD define and one case in DecodeFrame().</t>
        </is>
      </c>
      <c r="D29" s="14" t="inlineStr">
        <is>
          <t>Non-functional</t>
        </is>
      </c>
      <c r="E29" s="15" t="inlineStr">
        <is>
          <t>SWC-DEC</t>
        </is>
      </c>
      <c r="F29" s="15" t="inlineStr">
        <is>
          <t>SYS-REQ-005</t>
        </is>
      </c>
      <c r="G29" s="15" t="inlineStr">
        <is>
          <t>Training exercise: add your own command.</t>
        </is>
      </c>
      <c r="H29" s="16" t="inlineStr">
        <is>
          <t>Low</t>
        </is>
      </c>
      <c r="I29" s="16" t="inlineStr">
        <is>
          <t>Accepted</t>
        </is>
      </c>
      <c r="J29" s="16" t="inlineStr">
        <is>
          <t>Review</t>
        </is>
      </c>
      <c r="K29" s="15" t="inlineStr">
        <is>
          <t>Code review checklist item passed.</t>
        </is>
      </c>
      <c r="L29" s="15" t="inlineStr">
        <is>
          <t>TC-15</t>
        </is>
      </c>
      <c r="M29" s="14" t="inlineStr">
        <is>
          <t>R1.0</t>
        </is>
      </c>
      <c r="N29" s="14">
        <f>IF(ISNUMBER(MATCH(LEFT(F29,11),'System Requirements'!$A$5:$A$13,0)),"OK","MISSING")</f>
        <v/>
      </c>
      <c r="O29" s="15" t="inlineStr"/>
    </row>
    <row r="30">
      <c r="A30" s="17" t="inlineStr">
        <is>
          <t>SW-REQ-026</t>
        </is>
      </c>
      <c r="B30" s="18" t="inlineStr">
        <is>
          <t>COM port management</t>
        </is>
      </c>
      <c r="C30" s="18" t="inlineStr">
        <is>
          <t>The host application shall list the available COM ports and connect / disconnect on user request.</t>
        </is>
      </c>
      <c r="D30" s="17" t="inlineStr">
        <is>
          <t>Functional</t>
        </is>
      </c>
      <c r="E30" s="18" t="inlineStr">
        <is>
          <t>SWC-GUI, SWC-PORT</t>
        </is>
      </c>
      <c r="F30" s="18" t="inlineStr">
        <is>
          <t>SYS-REQ-007</t>
        </is>
      </c>
      <c r="G30" s="18" t="inlineStr">
        <is>
          <t>Port name varies per PC.</t>
        </is>
      </c>
      <c r="H30" s="16" t="inlineStr">
        <is>
          <t>High</t>
        </is>
      </c>
      <c r="I30" s="16" t="inlineStr">
        <is>
          <t>Accepted</t>
        </is>
      </c>
      <c r="J30" s="16" t="inlineStr">
        <is>
          <t>Test</t>
        </is>
      </c>
      <c r="K30" s="18" t="inlineStr">
        <is>
          <t>Port list refreshed; connect and disconnect logged.</t>
        </is>
      </c>
      <c r="L30" s="18" t="inlineStr">
        <is>
          <t>TC-10</t>
        </is>
      </c>
      <c r="M30" s="17" t="inlineStr">
        <is>
          <t>R1.0</t>
        </is>
      </c>
      <c r="N30" s="17">
        <f>IF(ISNUMBER(MATCH(LEFT(F30,11),'System Requirements'!$A$5:$A$13,0)),"OK","MISSING")</f>
        <v/>
      </c>
      <c r="O30" s="18" t="inlineStr"/>
    </row>
    <row r="31">
      <c r="A31" s="14" t="inlineStr">
        <is>
          <t>SW-REQ-027</t>
        </is>
      </c>
      <c r="B31" s="15" t="inlineStr">
        <is>
          <t>Command controls</t>
        </is>
      </c>
      <c r="C31" s="15" t="inlineStr">
        <is>
          <t>The GUI shall provide: PING with a data value, LED_SET from four check boxes, All ON, All OFF, TOGGLE per LED, and read button.</t>
        </is>
      </c>
      <c r="D31" s="14" t="inlineStr">
        <is>
          <t>Functional</t>
        </is>
      </c>
      <c r="E31" s="15" t="inlineStr">
        <is>
          <t>SWC-GUI</t>
        </is>
      </c>
      <c r="F31" s="15" t="inlineStr">
        <is>
          <t>SYS-REQ-001, SYS-REQ-002, SYS-REQ-003, SYS-REQ-007</t>
        </is>
      </c>
      <c r="G31" s="15" t="inlineStr">
        <is>
          <t>One click per command.</t>
        </is>
      </c>
      <c r="H31" s="16" t="inlineStr">
        <is>
          <t>High</t>
        </is>
      </c>
      <c r="I31" s="16" t="inlineStr">
        <is>
          <t>Accepted</t>
        </is>
      </c>
      <c r="J31" s="16" t="inlineStr">
        <is>
          <t>Test</t>
        </is>
      </c>
      <c r="K31" s="15" t="inlineStr">
        <is>
          <t>Every control sends the expected frame.</t>
        </is>
      </c>
      <c r="L31" s="15" t="inlineStr">
        <is>
          <t>TC-02, TC-03, TC-06, TC-12</t>
        </is>
      </c>
      <c r="M31" s="14" t="inlineStr">
        <is>
          <t>R1.0</t>
        </is>
      </c>
      <c r="N31" s="14">
        <f>IF(ISNUMBER(MATCH(LEFT(F31,11),'System Requirements'!$A$5:$A$13,0)),"OK","MISSING")</f>
        <v/>
      </c>
      <c r="O31" s="15" t="inlineStr"/>
    </row>
    <row r="32">
      <c r="A32" s="17" t="inlineStr">
        <is>
          <t>SW-REQ-028</t>
        </is>
      </c>
      <c r="B32" s="18" t="inlineStr">
        <is>
          <t>Custom frame</t>
        </is>
      </c>
      <c r="C32" s="18" t="inlineStr">
        <is>
          <t>The GUI shall send a custom frame whose CMD and DATA are entered in hexadecimal.</t>
        </is>
      </c>
      <c r="D32" s="17" t="inlineStr">
        <is>
          <t>Functional</t>
        </is>
      </c>
      <c r="E32" s="18" t="inlineStr">
        <is>
          <t>SWC-GUI</t>
        </is>
      </c>
      <c r="F32" s="18" t="inlineStr">
        <is>
          <t>SYS-REQ-007</t>
        </is>
      </c>
      <c r="G32" s="18" t="inlineStr">
        <is>
          <t>Negative testing from the GUI.</t>
        </is>
      </c>
      <c r="H32" s="16" t="inlineStr">
        <is>
          <t>Medium</t>
        </is>
      </c>
      <c r="I32" s="16" t="inlineStr">
        <is>
          <t>Accepted</t>
        </is>
      </c>
      <c r="J32" s="16" t="inlineStr">
        <is>
          <t>Test</t>
        </is>
      </c>
      <c r="K32" s="18" t="inlineStr">
        <is>
          <t>AA 42 00 sent and BAD_CMD shown.</t>
        </is>
      </c>
      <c r="L32" s="18" t="inlineStr">
        <is>
          <t>TC-05</t>
        </is>
      </c>
      <c r="M32" s="17" t="inlineStr">
        <is>
          <t>R1.0</t>
        </is>
      </c>
      <c r="N32" s="17">
        <f>IF(ISNUMBER(MATCH(LEFT(F32,11),'System Requirements'!$A$5:$A$13,0)),"OK","MISSING")</f>
        <v/>
      </c>
      <c r="O32" s="18" t="inlineStr"/>
    </row>
    <row r="33">
      <c r="A33" s="14" t="inlineStr">
        <is>
          <t>SW-REQ-029</t>
        </is>
      </c>
      <c r="B33" s="15" t="inlineStr">
        <is>
          <t>Host frame parser</t>
        </is>
      </c>
      <c r="C33" s="15" t="inlineStr">
        <is>
          <t>The host shall receive with the same WAIT_SOF / WAIT_CMD / WAIT_DATA state machine and 50 ms timeout, and treat bytes outside a frame as board log text.</t>
        </is>
      </c>
      <c r="D33" s="14" t="inlineStr">
        <is>
          <t>Functional</t>
        </is>
      </c>
      <c r="E33" s="15" t="inlineStr">
        <is>
          <t>SWC-RDR</t>
        </is>
      </c>
      <c r="F33" s="15" t="inlineStr">
        <is>
          <t>SYS-REQ-006</t>
        </is>
      </c>
      <c r="G33" s="15" t="inlineStr">
        <is>
          <t>UART shared with the board log.</t>
        </is>
      </c>
      <c r="H33" s="16" t="inlineStr">
        <is>
          <t>High</t>
        </is>
      </c>
      <c r="I33" s="16" t="inlineStr">
        <is>
          <t>Accepted</t>
        </is>
      </c>
      <c r="J33" s="16" t="inlineStr">
        <is>
          <t>Test</t>
        </is>
      </c>
      <c r="K33" s="15" t="inlineStr">
        <is>
          <t>Responses decoded while log text is displayed.</t>
        </is>
      </c>
      <c r="L33" s="15" t="inlineStr">
        <is>
          <t>TC-11</t>
        </is>
      </c>
      <c r="M33" s="14" t="inlineStr">
        <is>
          <t>R1.0</t>
        </is>
      </c>
      <c r="N33" s="14">
        <f>IF(ISNUMBER(MATCH(LEFT(F33,11),'System Requirements'!$A$5:$A$13,0)),"OK","MISSING")</f>
        <v/>
      </c>
      <c r="O33" s="15" t="inlineStr"/>
    </row>
    <row r="34">
      <c r="A34" s="17" t="inlineStr">
        <is>
          <t>SW-REQ-030</t>
        </is>
      </c>
      <c r="B34" s="18" t="inlineStr">
        <is>
          <t>Log display</t>
        </is>
      </c>
      <c r="C34" s="18" t="inlineStr">
        <is>
          <t>The GUI log shall show each sent frame, each received frame decoded to its name and status, and the board log text, with a time stamp and one colour per kind.</t>
        </is>
      </c>
      <c r="D34" s="17" t="inlineStr">
        <is>
          <t>Functional</t>
        </is>
      </c>
      <c r="E34" s="18" t="inlineStr">
        <is>
          <t>SWC-GUI</t>
        </is>
      </c>
      <c r="F34" s="18" t="inlineStr">
        <is>
          <t>SYS-REQ-007</t>
        </is>
      </c>
      <c r="G34" s="18" t="inlineStr">
        <is>
          <t>Trainee sees the full exchange.</t>
        </is>
      </c>
      <c r="H34" s="16" t="inlineStr">
        <is>
          <t>Medium</t>
        </is>
      </c>
      <c r="I34" s="16" t="inlineStr">
        <is>
          <t>Accepted</t>
        </is>
      </c>
      <c r="J34" s="16" t="inlineStr">
        <is>
          <t>Test</t>
        </is>
      </c>
      <c r="K34" s="18" t="inlineStr">
        <is>
          <t>TX blue, RX green, errors red, board text grey.</t>
        </is>
      </c>
      <c r="L34" s="18" t="inlineStr">
        <is>
          <t>TC-11</t>
        </is>
      </c>
      <c r="M34" s="17" t="inlineStr">
        <is>
          <t>R1.0</t>
        </is>
      </c>
      <c r="N34" s="17">
        <f>IF(ISNUMBER(MATCH(LEFT(F34,11),'System Requirements'!$A$5:$A$13,0)),"OK","MISSING")</f>
        <v/>
      </c>
      <c r="O34" s="18" t="inlineStr"/>
    </row>
    <row r="35">
      <c r="A35" s="14" t="inlineStr">
        <is>
          <t>SW-REQ-031</t>
        </is>
      </c>
      <c r="B35" s="15" t="inlineStr">
        <is>
          <t>Responsive GUI</t>
        </is>
      </c>
      <c r="C35" s="15" t="inlineStr">
        <is>
          <t>Serial reception shall run in a separate thread so that the GUI never freezes.</t>
        </is>
      </c>
      <c r="D35" s="14" t="inlineStr">
        <is>
          <t>Non-functional</t>
        </is>
      </c>
      <c r="E35" s="15" t="inlineStr">
        <is>
          <t>SWC-RDR</t>
        </is>
      </c>
      <c r="F35" s="15" t="inlineStr">
        <is>
          <t>SYS-REQ-007</t>
        </is>
      </c>
      <c r="G35" s="15" t="inlineStr">
        <is>
          <t>Usability.</t>
        </is>
      </c>
      <c r="H35" s="16" t="inlineStr">
        <is>
          <t>Medium</t>
        </is>
      </c>
      <c r="I35" s="16" t="inlineStr">
        <is>
          <t>Accepted</t>
        </is>
      </c>
      <c r="J35" s="16" t="inlineStr">
        <is>
          <t>Test</t>
        </is>
      </c>
      <c r="K35" s="15" t="inlineStr">
        <is>
          <t>Window stays responsive during traffic.</t>
        </is>
      </c>
      <c r="L35" s="15" t="inlineStr">
        <is>
          <t>TC-12</t>
        </is>
      </c>
      <c r="M35" s="14" t="inlineStr">
        <is>
          <t>R1.0</t>
        </is>
      </c>
      <c r="N35" s="14">
        <f>IF(ISNUMBER(MATCH(LEFT(F35,11),'System Requirements'!$A$5:$A$13,0)),"OK","MISSING")</f>
        <v/>
      </c>
      <c r="O35" s="15" t="inlineStr"/>
    </row>
  </sheetData>
  <autoFilter ref="A4:O35"/>
  <conditionalFormatting sqref="N5:N35">
    <cfRule type="cellIs" priority="1" operator="equal" dxfId="0">
      <formula>"MISSING"</formula>
    </cfRule>
  </conditionalFormatting>
  <dataValidations count="4">
    <dataValidation sqref="H5:H35" showDropDown="0" showInputMessage="0" showErrorMessage="0" allowBlank="1" errorTitle="Invalid value" error="Pick a value from the list" type="list">
      <formula1>"High,Medium,Low"</formula1>
    </dataValidation>
    <dataValidation sqref="I5:I35" showDropDown="0" showInputMessage="0" showErrorMessage="0" allowBlank="1" errorTitle="Invalid value" error="Pick a value from the list" type="list">
      <formula1>"Draft,In review,Accepted,Rejected,Deferred"</formula1>
    </dataValidation>
    <dataValidation sqref="J5:J35" showDropDown="0" showInputMessage="0" showErrorMessage="0" allowBlank="1" errorTitle="Invalid value" error="Pick a value from the list" type="list">
      <formula1>"Test,Analysis,Review,Inspection,Demonstration"</formula1>
    </dataValidation>
    <dataValidation sqref="D5:D35" showDropDown="0" showInputMessage="0" showErrorMessage="0" allowBlank="1" type="list">
      <formula1>"Functional,Non-functional,Interface,Performance,Constraint"</formula1>
    </dataValidation>
  </dataValidation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E21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34" customWidth="1" min="4" max="4"/>
    <col width="26" customWidth="1" min="5" max="5"/>
  </cols>
  <sheetData>
    <row r="1">
      <c r="A1" s="11" t="inlineStr">
        <is>
          <t>Interface Specification - UART frame</t>
        </is>
      </c>
    </row>
    <row r="2">
      <c r="A2" s="12" t="inlineStr">
        <is>
          <t>APK5-SRS-001  |  Version 1.0  |  USART2, 115200 baud, 8N1, no flow control</t>
        </is>
      </c>
    </row>
    <row r="4" ht="30" customHeight="1">
      <c r="A4" s="13" t="inlineStr">
        <is>
          <t>Byte</t>
        </is>
      </c>
      <c r="B4" s="13" t="inlineStr">
        <is>
          <t>Field</t>
        </is>
      </c>
      <c r="C4" s="13" t="inlineStr">
        <is>
          <t>Request (Host -&gt; STM32)</t>
        </is>
      </c>
      <c r="D4" s="13" t="inlineStr">
        <is>
          <t>Response (STM32 -&gt; Host)</t>
        </is>
      </c>
      <c r="E4" s="13" t="inlineStr">
        <is>
          <t>Requirement</t>
        </is>
      </c>
    </row>
    <row r="5">
      <c r="A5" s="14" t="n">
        <v>0</v>
      </c>
      <c r="B5" s="14" t="inlineStr">
        <is>
          <t>SOF</t>
        </is>
      </c>
      <c r="C5" s="15" t="inlineStr">
        <is>
          <t>0xAA</t>
        </is>
      </c>
      <c r="D5" s="15" t="inlineStr">
        <is>
          <t>0xAA</t>
        </is>
      </c>
      <c r="E5" s="15" t="inlineStr">
        <is>
          <t>SW-REQ-002, SW-REQ-015</t>
        </is>
      </c>
    </row>
    <row r="6">
      <c r="A6" s="17" t="n">
        <v>1</v>
      </c>
      <c r="B6" s="17" t="inlineStr">
        <is>
          <t>CMD</t>
        </is>
      </c>
      <c r="C6" s="18" t="inlineStr">
        <is>
          <t>Command code 0x00..0x7F</t>
        </is>
      </c>
      <c r="D6" s="18" t="inlineStr">
        <is>
          <t>Request CMD OR 0x80</t>
        </is>
      </c>
      <c r="E6" s="18" t="inlineStr">
        <is>
          <t>SW-REQ-015</t>
        </is>
      </c>
    </row>
    <row r="7">
      <c r="A7" s="14" t="n">
        <v>2</v>
      </c>
      <c r="B7" s="14" t="inlineStr">
        <is>
          <t>DATA</t>
        </is>
      </c>
      <c r="C7" s="15" t="inlineStr">
        <is>
          <t>Command parameter</t>
        </is>
      </c>
      <c r="D7" s="15" t="inlineStr">
        <is>
          <t>Status code or requested value</t>
        </is>
      </c>
      <c r="E7" s="15" t="inlineStr">
        <is>
          <t>SW-REQ-015</t>
        </is>
      </c>
    </row>
    <row r="9">
      <c r="A9" s="6" t="inlineStr">
        <is>
          <t>Commands</t>
        </is>
      </c>
    </row>
    <row r="10">
      <c r="A10" s="7" t="inlineStr">
        <is>
          <t>CMD</t>
        </is>
      </c>
      <c r="B10" s="7" t="inlineStr">
        <is>
          <t>Name</t>
        </is>
      </c>
      <c r="C10" s="7" t="inlineStr">
        <is>
          <t>Request DATA</t>
        </is>
      </c>
      <c r="D10" s="7" t="inlineStr">
        <is>
          <t>Response DATA</t>
        </is>
      </c>
      <c r="E10" s="7" t="inlineStr">
        <is>
          <t>Requirement</t>
        </is>
      </c>
    </row>
    <row r="11">
      <c r="A11" s="15" t="inlineStr">
        <is>
          <t>0x01</t>
        </is>
      </c>
      <c r="B11" s="15" t="inlineStr">
        <is>
          <t>PING</t>
        </is>
      </c>
      <c r="C11" s="15" t="inlineStr">
        <is>
          <t>Any value</t>
        </is>
      </c>
      <c r="D11" s="15" t="inlineStr">
        <is>
          <t>Same value (echo)</t>
        </is>
      </c>
      <c r="E11" s="15" t="inlineStr">
        <is>
          <t>SW-REQ-008</t>
        </is>
      </c>
    </row>
    <row r="12">
      <c r="A12" s="15" t="inlineStr">
        <is>
          <t>0x02</t>
        </is>
      </c>
      <c r="B12" s="15" t="inlineStr">
        <is>
          <t>LED_SET</t>
        </is>
      </c>
      <c r="C12" s="15" t="inlineStr">
        <is>
          <t>Bit 0..3 = LED PD12..PD15</t>
        </is>
      </c>
      <c r="D12" s="15" t="inlineStr">
        <is>
          <t>0x00 OK</t>
        </is>
      </c>
      <c r="E12" s="15" t="inlineStr">
        <is>
          <t>SW-REQ-009</t>
        </is>
      </c>
    </row>
    <row r="13">
      <c r="A13" s="15" t="inlineStr">
        <is>
          <t>0x03</t>
        </is>
      </c>
      <c r="B13" s="15" t="inlineStr">
        <is>
          <t>LED_TOGGLE</t>
        </is>
      </c>
      <c r="C13" s="15" t="inlineStr">
        <is>
          <t>LED index 0..3</t>
        </is>
      </c>
      <c r="D13" s="15" t="inlineStr">
        <is>
          <t>0x00 OK / 0xE2 BAD_DATA</t>
        </is>
      </c>
      <c r="E13" s="15" t="inlineStr">
        <is>
          <t>SW-REQ-010, SW-REQ-013</t>
        </is>
      </c>
    </row>
    <row r="14">
      <c r="A14" s="15" t="inlineStr">
        <is>
          <t>0x04</t>
        </is>
      </c>
      <c r="B14" s="15" t="inlineStr">
        <is>
          <t>GET_BUTTON</t>
        </is>
      </c>
      <c r="C14" s="15" t="inlineStr">
        <is>
          <t>Ignored</t>
        </is>
      </c>
      <c r="D14" s="15" t="inlineStr">
        <is>
          <t>1 pressed / 0 released</t>
        </is>
      </c>
      <c r="E14" s="15" t="inlineStr">
        <is>
          <t>SW-REQ-011</t>
        </is>
      </c>
    </row>
    <row r="15">
      <c r="A15" s="15" t="inlineStr">
        <is>
          <t>other</t>
        </is>
      </c>
      <c r="B15" s="15" t="inlineStr">
        <is>
          <t>-</t>
        </is>
      </c>
      <c r="C15" s="15" t="inlineStr">
        <is>
          <t>Any</t>
        </is>
      </c>
      <c r="D15" s="15" t="inlineStr">
        <is>
          <t>0xE1 BAD_CMD</t>
        </is>
      </c>
      <c r="E15" s="15" t="inlineStr">
        <is>
          <t>SW-REQ-012</t>
        </is>
      </c>
    </row>
    <row r="17">
      <c r="A17" s="6" t="inlineStr">
        <is>
          <t>Status codes</t>
        </is>
      </c>
    </row>
    <row r="18">
      <c r="A18" s="7" t="inlineStr">
        <is>
          <t>Code</t>
        </is>
      </c>
      <c r="B18" s="7" t="inlineStr">
        <is>
          <t>Name</t>
        </is>
      </c>
      <c r="C18" s="7" t="inlineStr">
        <is>
          <t>Meaning</t>
        </is>
      </c>
    </row>
    <row r="19">
      <c r="A19" s="4" t="inlineStr">
        <is>
          <t>0x00</t>
        </is>
      </c>
      <c r="B19" s="4" t="inlineStr">
        <is>
          <t>OK</t>
        </is>
      </c>
      <c r="C19" s="4" t="inlineStr">
        <is>
          <t>Command executed</t>
        </is>
      </c>
    </row>
    <row r="20">
      <c r="A20" s="4" t="inlineStr">
        <is>
          <t>0xE1</t>
        </is>
      </c>
      <c r="B20" s="4" t="inlineStr">
        <is>
          <t>BAD_CMD</t>
        </is>
      </c>
      <c r="C20" s="4" t="inlineStr">
        <is>
          <t>Unknown command, nothing executed</t>
        </is>
      </c>
    </row>
    <row r="21">
      <c r="A21" s="4" t="inlineStr">
        <is>
          <t>0xE2</t>
        </is>
      </c>
      <c r="B21" s="4" t="inlineStr">
        <is>
          <t>BAD_DATA</t>
        </is>
      </c>
      <c r="C21" s="4" t="inlineStr">
        <is>
          <t>Parameter out of range, nothing executed</t>
        </is>
      </c>
    </row>
  </sheetData>
  <autoFilter ref="A4:E7"/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18" customWidth="1" min="5" max="5"/>
    <col width="48" customWidth="1" min="6" max="6"/>
    <col width="14" customWidth="1" min="7" max="7"/>
  </cols>
  <sheetData>
    <row r="1">
      <c r="A1" s="11" t="inlineStr">
        <is>
          <t>Software Components (SWE.2)</t>
        </is>
      </c>
    </row>
    <row r="2">
      <c r="A2" s="12" t="inlineStr">
        <is>
          <t>APK5-SRS-001  |  Version 1.0  |  Elements of the software architecture</t>
        </is>
      </c>
    </row>
    <row r="4" ht="30" customHeight="1">
      <c r="A4" s="13" t="inlineStr">
        <is>
          <t>Component ID</t>
        </is>
      </c>
      <c r="B4" s="13" t="inlineStr">
        <is>
          <t>Name</t>
        </is>
      </c>
      <c r="C4" s="13" t="inlineStr">
        <is>
          <t>Implementation</t>
        </is>
      </c>
      <c r="D4" s="13" t="inlineStr">
        <is>
          <t>File</t>
        </is>
      </c>
      <c r="E4" s="13" t="inlineStr">
        <is>
          <t>Execution context</t>
        </is>
      </c>
      <c r="F4" s="13" t="inlineStr">
        <is>
          <t>Responsibility</t>
        </is>
      </c>
      <c r="G4" s="13" t="inlineStr">
        <is>
          <t># SW req allocated</t>
        </is>
      </c>
    </row>
    <row r="5">
      <c r="A5" s="14" t="inlineStr">
        <is>
          <t>SWC-ISR</t>
        </is>
      </c>
      <c r="B5" s="15" t="inlineStr">
        <is>
          <t>UART RX callback</t>
        </is>
      </c>
      <c r="C5" s="15" t="inlineStr">
        <is>
          <t>HAL_UART_RxCpltCallback, HAL_UART_ErrorCallback</t>
        </is>
      </c>
      <c r="D5" s="15" t="inlineStr">
        <is>
          <t>Core/Src/apk5.c</t>
        </is>
      </c>
      <c r="E5" s="14" t="inlineStr">
        <is>
          <t>Interrupt</t>
        </is>
      </c>
      <c r="F5" s="15" t="inlineStr">
        <is>
          <t>Byte reception, framing state machine, timeout, error recovery.</t>
        </is>
      </c>
      <c r="G5" s="14">
        <f>COUNTIF('SW Requirements'!$E$5:$E$200,"*"&amp;A5&amp;"*")</f>
        <v/>
      </c>
    </row>
    <row r="6">
      <c r="A6" s="17" t="inlineStr">
        <is>
          <t>SWC-QUEUE</t>
        </is>
      </c>
      <c r="B6" s="18" t="inlineStr">
        <is>
          <t>QueueFrame</t>
        </is>
      </c>
      <c r="C6" s="18" t="inlineStr">
        <is>
          <t>FreeRTOS queue, 8 x Frame_t</t>
        </is>
      </c>
      <c r="D6" s="18" t="inlineStr">
        <is>
          <t>Core/Src/apk5.c</t>
        </is>
      </c>
      <c r="E6" s="17" t="inlineStr">
        <is>
          <t>Kernel object</t>
        </is>
      </c>
      <c r="F6" s="18" t="inlineStr">
        <is>
          <t>Transfers complete frames from ISR to task.</t>
        </is>
      </c>
      <c r="G6" s="17">
        <f>COUNTIF('SW Requirements'!$E$5:$E$200,"*"&amp;A6&amp;"*")</f>
        <v/>
      </c>
    </row>
    <row r="7">
      <c r="A7" s="14" t="inlineStr">
        <is>
          <t>SWC-LL</t>
        </is>
      </c>
      <c r="B7" s="15" t="inlineStr">
        <is>
          <t>LinkLayer task</t>
        </is>
      </c>
      <c r="C7" s="15" t="inlineStr">
        <is>
          <t>LinkLayer()</t>
        </is>
      </c>
      <c r="D7" s="15" t="inlineStr">
        <is>
          <t>Core/Src/apk5.c</t>
        </is>
      </c>
      <c r="E7" s="14" t="inlineStr">
        <is>
          <t>Task, prio 3</t>
        </is>
      </c>
      <c r="F7" s="15" t="inlineStr">
        <is>
          <t>Waits on QueueFrame, traces, dispatches, answers.</t>
        </is>
      </c>
      <c r="G7" s="14">
        <f>COUNTIF('SW Requirements'!$E$5:$E$200,"*"&amp;A7&amp;"*")</f>
        <v/>
      </c>
    </row>
    <row r="8">
      <c r="A8" s="17" t="inlineStr">
        <is>
          <t>SWC-DEC</t>
        </is>
      </c>
      <c r="B8" s="18" t="inlineStr">
        <is>
          <t>Command decoder</t>
        </is>
      </c>
      <c r="C8" s="18" t="inlineStr">
        <is>
          <t>DecodeFrame()</t>
        </is>
      </c>
      <c r="D8" s="18" t="inlineStr">
        <is>
          <t>Core/Src/apk5.c</t>
        </is>
      </c>
      <c r="E8" s="17" t="inlineStr">
        <is>
          <t>Task context</t>
        </is>
      </c>
      <c r="F8" s="18" t="inlineStr">
        <is>
          <t>Executes PING, LED_SET, LED_TOGGLE, GET_BUTTON; returns status.</t>
        </is>
      </c>
      <c r="G8" s="17">
        <f>COUNTIF('SW Requirements'!$E$5:$E$200,"*"&amp;A8&amp;"*")</f>
        <v/>
      </c>
    </row>
    <row r="9">
      <c r="A9" s="14" t="inlineStr">
        <is>
          <t>SWC-TX</t>
        </is>
      </c>
      <c r="B9" s="15" t="inlineStr">
        <is>
          <t>Frame transmitter</t>
        </is>
      </c>
      <c r="C9" s="15" t="inlineStr">
        <is>
          <t>SendFrame()</t>
        </is>
      </c>
      <c r="D9" s="15" t="inlineStr">
        <is>
          <t>Core/Src/apk5.c</t>
        </is>
      </c>
      <c r="E9" s="14" t="inlineStr">
        <is>
          <t>Task context</t>
        </is>
      </c>
      <c r="F9" s="15" t="inlineStr">
        <is>
          <t>Builds and sends the 3-byte response under xUartMutex.</t>
        </is>
      </c>
      <c r="G9" s="14">
        <f>COUNTIF('SW Requirements'!$E$5:$E$200,"*"&amp;A9&amp;"*")</f>
        <v/>
      </c>
    </row>
    <row r="10">
      <c r="A10" s="17" t="inlineStr">
        <is>
          <t>SWC-CFG</t>
        </is>
      </c>
      <c r="B10" s="18" t="inlineStr">
        <is>
          <t>Configuration</t>
        </is>
      </c>
      <c r="C10" s="18" t="inlineStr">
        <is>
          <t>main.h, stm32f4xx_hal_msp.c, log.c</t>
        </is>
      </c>
      <c r="D10" s="18" t="inlineStr">
        <is>
          <t>Core/</t>
        </is>
      </c>
      <c r="E10" s="17" t="inlineStr">
        <is>
          <t>Static</t>
        </is>
      </c>
      <c r="F10" s="18" t="inlineStr">
        <is>
          <t>Lab selection, UART init and priority, printf retarget with mutex.</t>
        </is>
      </c>
      <c r="G10" s="17">
        <f>COUNTIF('SW Requirements'!$E$5:$E$200,"*"&amp;A10&amp;"*")</f>
        <v/>
      </c>
    </row>
    <row r="11">
      <c r="A11" s="14" t="inlineStr">
        <is>
          <t>SWC-GUI</t>
        </is>
      </c>
      <c r="B11" s="15" t="inlineStr">
        <is>
          <t>Host GUI</t>
        </is>
      </c>
      <c r="C11" s="15" t="inlineStr">
        <is>
          <t>MainWindow</t>
        </is>
      </c>
      <c r="D11" s="15" t="inlineStr">
        <is>
          <t>tools/apk5_gui.py</t>
        </is>
      </c>
      <c r="E11" s="14" t="inlineStr">
        <is>
          <t>PyQt5 main thread</t>
        </is>
      </c>
      <c r="F11" s="15" t="inlineStr">
        <is>
          <t>Controls, connection, log display.</t>
        </is>
      </c>
      <c r="G11" s="14">
        <f>COUNTIF('SW Requirements'!$E$5:$E$200,"*"&amp;A11&amp;"*")</f>
        <v/>
      </c>
    </row>
    <row r="12">
      <c r="A12" s="17" t="inlineStr">
        <is>
          <t>SWC-RDR</t>
        </is>
      </c>
      <c r="B12" s="18" t="inlineStr">
        <is>
          <t>Host serial reader</t>
        </is>
      </c>
      <c r="C12" s="18" t="inlineStr">
        <is>
          <t>SerialReader (QThread)</t>
        </is>
      </c>
      <c r="D12" s="18" t="inlineStr">
        <is>
          <t>tools/apk5_gui.py</t>
        </is>
      </c>
      <c r="E12" s="17" t="inlineStr">
        <is>
          <t>Worker thread</t>
        </is>
      </c>
      <c r="F12" s="18" t="inlineStr">
        <is>
          <t>Host-side framing state machine, log text extraction.</t>
        </is>
      </c>
      <c r="G12" s="17">
        <f>COUNTIF('SW Requirements'!$E$5:$E$200,"*"&amp;A12&amp;"*")</f>
        <v/>
      </c>
    </row>
    <row r="13">
      <c r="A13" s="14" t="inlineStr">
        <is>
          <t>SWC-PORT</t>
        </is>
      </c>
      <c r="B13" s="15" t="inlineStr">
        <is>
          <t>Serial port</t>
        </is>
      </c>
      <c r="C13" s="15" t="inlineStr">
        <is>
          <t>pyserial Serial</t>
        </is>
      </c>
      <c r="D13" s="15" t="inlineStr">
        <is>
          <t>tools/apk5_gui.py</t>
        </is>
      </c>
      <c r="E13" s="14" t="inlineStr">
        <is>
          <t>Library</t>
        </is>
      </c>
      <c r="F13" s="15" t="inlineStr">
        <is>
          <t>COM port access, 115200 8N1.</t>
        </is>
      </c>
      <c r="G13" s="14">
        <f>COUNTIF('SW Requirements'!$E$5:$E$200,"*"&amp;A13&amp;"*")</f>
        <v/>
      </c>
    </row>
  </sheetData>
  <autoFilter ref="A4:G13"/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K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26" customWidth="1" min="4" max="4"/>
    <col width="40" customWidth="1" min="5" max="5"/>
    <col width="42" customWidth="1" min="6" max="6"/>
    <col width="24" customWidth="1" min="7" max="7"/>
    <col width="10" customWidth="1" min="8" max="8"/>
    <col width="11" customWidth="1" min="9" max="9"/>
    <col width="12" customWidth="1" min="10" max="10"/>
    <col width="20" customWidth="1" min="11" max="11"/>
  </cols>
  <sheetData>
    <row r="1">
      <c r="A1" s="11" t="inlineStr">
        <is>
          <t>Software Qualification Test Specification (SWE.6)</t>
        </is>
      </c>
    </row>
    <row r="2">
      <c r="A2" s="12" t="inlineStr">
        <is>
          <t>APK5-SRS-001  |  Version 1.0  |  Fill in Result, Date and Tester after each run</t>
        </is>
      </c>
    </row>
    <row r="4" ht="30" customHeight="1">
      <c r="A4" s="13" t="inlineStr">
        <is>
          <t>Test ID</t>
        </is>
      </c>
      <c r="B4" s="13" t="inlineStr">
        <is>
          <t>Title</t>
        </is>
      </c>
      <c r="C4" s="13" t="inlineStr">
        <is>
          <t>Method</t>
        </is>
      </c>
      <c r="D4" s="13" t="inlineStr">
        <is>
          <t>Precondition</t>
        </is>
      </c>
      <c r="E4" s="13" t="inlineStr">
        <is>
          <t>Steps</t>
        </is>
      </c>
      <c r="F4" s="13" t="inlineStr">
        <is>
          <t>Expected result</t>
        </is>
      </c>
      <c r="G4" s="13" t="inlineStr">
        <is>
          <t>Verifies</t>
        </is>
      </c>
      <c r="H4" s="13" t="inlineStr">
        <is>
          <t>Result</t>
        </is>
      </c>
      <c r="I4" s="13" t="inlineStr">
        <is>
          <t>Date</t>
        </is>
      </c>
      <c r="J4" s="13" t="inlineStr">
        <is>
          <t>Tester</t>
        </is>
      </c>
      <c r="K4" s="13" t="inlineStr">
        <is>
          <t>Remark</t>
        </is>
      </c>
    </row>
    <row r="5">
      <c r="A5" s="14" t="inlineStr">
        <is>
          <t>TC-01</t>
        </is>
      </c>
      <c r="B5" s="15" t="inlineStr">
        <is>
          <t>PING round trip</t>
        </is>
      </c>
      <c r="C5" s="14" t="inlineStr">
        <is>
          <t>Test</t>
        </is>
      </c>
      <c r="D5" s="15" t="inlineStr">
        <is>
          <t>Board running APK5, GUI connected</t>
        </is>
      </c>
      <c r="E5" s="15" t="inlineStr">
        <is>
          <t>Send PING with data 0x55.</t>
        </is>
      </c>
      <c r="F5" s="15" t="inlineStr">
        <is>
          <t>Response AA 81 55; log line 'RX frame CMD=0x01 DATA=0x55'.</t>
        </is>
      </c>
      <c r="G5" s="15" t="inlineStr">
        <is>
          <t>SW-REQ-001, SW-REQ-002, SW-REQ-004, SW-REQ-007, SW-REQ-008, SW-REQ-014, SW-REQ-015, SW-REQ-016</t>
        </is>
      </c>
      <c r="H5" s="16" t="inlineStr">
        <is>
          <t>Not run</t>
        </is>
      </c>
      <c r="I5" s="19" t="inlineStr"/>
      <c r="J5" s="19" t="inlineStr"/>
      <c r="K5" s="19" t="inlineStr"/>
    </row>
    <row r="6">
      <c r="A6" s="17" t="inlineStr">
        <is>
          <t>TC-02</t>
        </is>
      </c>
      <c r="B6" s="18" t="inlineStr">
        <is>
          <t>LED_SET</t>
        </is>
      </c>
      <c r="C6" s="17" t="inlineStr">
        <is>
          <t>Test</t>
        </is>
      </c>
      <c r="D6" s="18" t="inlineStr">
        <is>
          <t>All LEDs off</t>
        </is>
      </c>
      <c r="E6" s="18" t="inlineStr">
        <is>
          <t>Tick LED0 and LED2, press LED_SET.</t>
        </is>
      </c>
      <c r="F6" s="18" t="inlineStr">
        <is>
          <t>Response AA 82 00; green and red LEDs on, orange and blue off.</t>
        </is>
      </c>
      <c r="G6" s="18" t="inlineStr">
        <is>
          <t>SW-REQ-009, SW-REQ-027</t>
        </is>
      </c>
      <c r="H6" s="16" t="inlineStr">
        <is>
          <t>Not run</t>
        </is>
      </c>
      <c r="I6" s="19" t="inlineStr"/>
      <c r="J6" s="19" t="inlineStr"/>
      <c r="K6" s="19" t="inlineStr"/>
    </row>
    <row r="7">
      <c r="A7" s="14" t="inlineStr">
        <is>
          <t>TC-03</t>
        </is>
      </c>
      <c r="B7" s="15" t="inlineStr">
        <is>
          <t>LED_TOGGLE valid</t>
        </is>
      </c>
      <c r="C7" s="14" t="inlineStr">
        <is>
          <t>Test</t>
        </is>
      </c>
      <c r="D7" s="15" t="inlineStr">
        <is>
          <t>Blue LED off</t>
        </is>
      </c>
      <c r="E7" s="15" t="inlineStr">
        <is>
          <t>Press Toggle 3.</t>
        </is>
      </c>
      <c r="F7" s="15" t="inlineStr">
        <is>
          <t>Response AA 83 00; blue LED on.</t>
        </is>
      </c>
      <c r="G7" s="15" t="inlineStr">
        <is>
          <t>SW-REQ-010, SW-REQ-027</t>
        </is>
      </c>
      <c r="H7" s="16" t="inlineStr">
        <is>
          <t>Not run</t>
        </is>
      </c>
      <c r="I7" s="19" t="inlineStr"/>
      <c r="J7" s="19" t="inlineStr"/>
      <c r="K7" s="19" t="inlineStr"/>
    </row>
    <row r="8">
      <c r="A8" s="17" t="inlineStr">
        <is>
          <t>TC-04</t>
        </is>
      </c>
      <c r="B8" s="18" t="inlineStr">
        <is>
          <t>LED_TOGGLE out of range</t>
        </is>
      </c>
      <c r="C8" s="17" t="inlineStr">
        <is>
          <t>Test</t>
        </is>
      </c>
      <c r="D8" s="18" t="inlineStr">
        <is>
          <t>Any LED state</t>
        </is>
      </c>
      <c r="E8" s="18" t="inlineStr">
        <is>
          <t>Send custom frame CMD 03 DATA 07.</t>
        </is>
      </c>
      <c r="F8" s="18" t="inlineStr">
        <is>
          <t>Response AA 83 E2; no LED change.</t>
        </is>
      </c>
      <c r="G8" s="18" t="inlineStr">
        <is>
          <t>SW-REQ-013</t>
        </is>
      </c>
      <c r="H8" s="16" t="inlineStr">
        <is>
          <t>Not run</t>
        </is>
      </c>
      <c r="I8" s="19" t="inlineStr"/>
      <c r="J8" s="19" t="inlineStr"/>
      <c r="K8" s="19" t="inlineStr"/>
    </row>
    <row r="9">
      <c r="A9" s="14" t="inlineStr">
        <is>
          <t>TC-05</t>
        </is>
      </c>
      <c r="B9" s="15" t="inlineStr">
        <is>
          <t>Unknown command</t>
        </is>
      </c>
      <c r="C9" s="14" t="inlineStr">
        <is>
          <t>Test</t>
        </is>
      </c>
      <c r="D9" s="15" t="inlineStr">
        <is>
          <t>Connected</t>
        </is>
      </c>
      <c r="E9" s="15" t="inlineStr">
        <is>
          <t>Send custom frame CMD 42 DATA 00.</t>
        </is>
      </c>
      <c r="F9" s="15" t="inlineStr">
        <is>
          <t>Response AA C2 E1 shown in red as BAD_CMD.</t>
        </is>
      </c>
      <c r="G9" s="15" t="inlineStr">
        <is>
          <t>SW-REQ-012, SW-REQ-014, SW-REQ-028</t>
        </is>
      </c>
      <c r="H9" s="16" t="inlineStr">
        <is>
          <t>Not run</t>
        </is>
      </c>
      <c r="I9" s="19" t="inlineStr"/>
      <c r="J9" s="19" t="inlineStr"/>
      <c r="K9" s="19" t="inlineStr"/>
    </row>
    <row r="10">
      <c r="A10" s="17" t="inlineStr">
        <is>
          <t>TC-06</t>
        </is>
      </c>
      <c r="B10" s="18" t="inlineStr">
        <is>
          <t>Button read</t>
        </is>
      </c>
      <c r="C10" s="17" t="inlineStr">
        <is>
          <t>Test</t>
        </is>
      </c>
      <c r="D10" s="18" t="inlineStr">
        <is>
          <t>Connected</t>
        </is>
      </c>
      <c r="E10" s="18" t="inlineStr">
        <is>
          <t>Hold B1, press Read button; release, press again.</t>
        </is>
      </c>
      <c r="F10" s="18" t="inlineStr">
        <is>
          <t>Responses AA 84 01 then AA 84 00; label PRESSED then released.</t>
        </is>
      </c>
      <c r="G10" s="18" t="inlineStr">
        <is>
          <t>SW-REQ-011, SW-REQ-027</t>
        </is>
      </c>
      <c r="H10" s="16" t="inlineStr">
        <is>
          <t>Not run</t>
        </is>
      </c>
      <c r="I10" s="19" t="inlineStr"/>
      <c r="J10" s="19" t="inlineStr"/>
      <c r="K10" s="19" t="inlineStr"/>
    </row>
    <row r="11">
      <c r="A11" s="14" t="inlineStr">
        <is>
          <t>TC-07</t>
        </is>
      </c>
      <c r="B11" s="15" t="inlineStr">
        <is>
          <t>Leading garbage</t>
        </is>
      </c>
      <c r="C11" s="14" t="inlineStr">
        <is>
          <t>Test</t>
        </is>
      </c>
      <c r="D11" s="15" t="inlineStr">
        <is>
          <t>Serial terminal in hex mode</t>
        </is>
      </c>
      <c r="E11" s="15" t="inlineStr">
        <is>
          <t>Send 12 34 AA 01 10.</t>
        </is>
      </c>
      <c r="F11" s="15" t="inlineStr">
        <is>
          <t>Single response AA 81 10.</t>
        </is>
      </c>
      <c r="G11" s="15" t="inlineStr">
        <is>
          <t>SW-REQ-002, SW-REQ-003</t>
        </is>
      </c>
      <c r="H11" s="16" t="inlineStr">
        <is>
          <t>Not run</t>
        </is>
      </c>
      <c r="I11" s="19" t="inlineStr"/>
      <c r="J11" s="19" t="inlineStr"/>
      <c r="K11" s="19" t="inlineStr"/>
    </row>
    <row r="12">
      <c r="A12" s="17" t="inlineStr">
        <is>
          <t>TC-08</t>
        </is>
      </c>
      <c r="B12" s="18" t="inlineStr">
        <is>
          <t>Inter-byte timeout</t>
        </is>
      </c>
      <c r="C12" s="17" t="inlineStr">
        <is>
          <t>Test</t>
        </is>
      </c>
      <c r="D12" s="18" t="inlineStr">
        <is>
          <t>Serial terminal in hex mode</t>
        </is>
      </c>
      <c r="E12" s="18" t="inlineStr">
        <is>
          <t>Send AA 01, wait 200 ms, send AA 01 20.</t>
        </is>
      </c>
      <c r="F12" s="18" t="inlineStr">
        <is>
          <t>Single response AA 81 20.</t>
        </is>
      </c>
      <c r="G12" s="18" t="inlineStr">
        <is>
          <t>SW-REQ-005</t>
        </is>
      </c>
      <c r="H12" s="16" t="inlineStr">
        <is>
          <t>Not run</t>
        </is>
      </c>
      <c r="I12" s="19" t="inlineStr"/>
      <c r="J12" s="19" t="inlineStr"/>
      <c r="K12" s="19" t="inlineStr"/>
    </row>
    <row r="13">
      <c r="A13" s="14" t="inlineStr">
        <is>
          <t>TC-09</t>
        </is>
      </c>
      <c r="B13" s="15" t="inlineStr">
        <is>
          <t>Burst of frames</t>
        </is>
      </c>
      <c r="C13" s="14" t="inlineStr">
        <is>
          <t>Test</t>
        </is>
      </c>
      <c r="D13" s="15" t="inlineStr">
        <is>
          <t>Python script</t>
        </is>
      </c>
      <c r="E13" s="15" t="inlineStr">
        <is>
          <t>Send 20 PING frames back to back with data 0..19.</t>
        </is>
      </c>
      <c r="F13" s="15" t="inlineStr">
        <is>
          <t>20 responses in order, data 0..19, no crash.</t>
        </is>
      </c>
      <c r="G13" s="15" t="inlineStr">
        <is>
          <t>SW-REQ-007, SW-REQ-014, SW-REQ-020</t>
        </is>
      </c>
      <c r="H13" s="16" t="inlineStr">
        <is>
          <t>Not run</t>
        </is>
      </c>
      <c r="I13" s="19" t="inlineStr"/>
      <c r="J13" s="19" t="inlineStr"/>
      <c r="K13" s="19" t="inlineStr"/>
    </row>
    <row r="14">
      <c r="A14" s="17" t="inlineStr">
        <is>
          <t>TC-10</t>
        </is>
      </c>
      <c r="B14" s="18" t="inlineStr">
        <is>
          <t>Disconnect / reconnect</t>
        </is>
      </c>
      <c r="C14" s="17" t="inlineStr">
        <is>
          <t>Test</t>
        </is>
      </c>
      <c r="D14" s="18" t="inlineStr">
        <is>
          <t>GUI connected</t>
        </is>
      </c>
      <c r="E14" s="18" t="inlineStr">
        <is>
          <t>Unplug the USB cable, replug, Refresh, Connect, send PING.</t>
        </is>
      </c>
      <c r="F14" s="18" t="inlineStr">
        <is>
          <t>Error logged, then PING answered.</t>
        </is>
      </c>
      <c r="G14" s="18" t="inlineStr">
        <is>
          <t>SW-REQ-006, SW-REQ-026</t>
        </is>
      </c>
      <c r="H14" s="16" t="inlineStr">
        <is>
          <t>Not run</t>
        </is>
      </c>
      <c r="I14" s="19" t="inlineStr"/>
      <c r="J14" s="19" t="inlineStr"/>
      <c r="K14" s="19" t="inlineStr"/>
    </row>
    <row r="15">
      <c r="A15" s="14" t="inlineStr">
        <is>
          <t>TC-11</t>
        </is>
      </c>
      <c r="B15" s="15" t="inlineStr">
        <is>
          <t>Shared UART with log</t>
        </is>
      </c>
      <c r="C15" s="14" t="inlineStr">
        <is>
          <t>Test</t>
        </is>
      </c>
      <c r="D15" s="15" t="inlineStr">
        <is>
          <t>Board printing log lines</t>
        </is>
      </c>
      <c r="E15" s="15" t="inlineStr">
        <is>
          <t>Send each command while the log is active.</t>
        </is>
      </c>
      <c r="F15" s="15" t="inlineStr">
        <is>
          <t>All responses decoded; board text shown in grey; no corrupted frame.</t>
        </is>
      </c>
      <c r="G15" s="15" t="inlineStr">
        <is>
          <t>SW-REQ-021, SW-REQ-022, SW-REQ-029, SW-REQ-030</t>
        </is>
      </c>
      <c r="H15" s="16" t="inlineStr">
        <is>
          <t>Not run</t>
        </is>
      </c>
      <c r="I15" s="19" t="inlineStr"/>
      <c r="J15" s="19" t="inlineStr"/>
      <c r="K15" s="19" t="inlineStr"/>
    </row>
    <row r="16">
      <c r="A16" s="17" t="inlineStr">
        <is>
          <t>TC-12</t>
        </is>
      </c>
      <c r="B16" s="18" t="inlineStr">
        <is>
          <t>GUI responsiveness</t>
        </is>
      </c>
      <c r="C16" s="17" t="inlineStr">
        <is>
          <t>Test</t>
        </is>
      </c>
      <c r="D16" s="18" t="inlineStr">
        <is>
          <t>GUI connected</t>
        </is>
      </c>
      <c r="E16" s="18" t="inlineStr">
        <is>
          <t>Click every control repeatedly while resizing the window.</t>
        </is>
      </c>
      <c r="F16" s="18" t="inlineStr">
        <is>
          <t>Every frame logged; window never freezes.</t>
        </is>
      </c>
      <c r="G16" s="18" t="inlineStr">
        <is>
          <t>SW-REQ-027, SW-REQ-031</t>
        </is>
      </c>
      <c r="H16" s="16" t="inlineStr">
        <is>
          <t>Not run</t>
        </is>
      </c>
      <c r="I16" s="19" t="inlineStr"/>
      <c r="J16" s="19" t="inlineStr"/>
      <c r="K16" s="19" t="inlineStr"/>
    </row>
    <row r="17">
      <c r="A17" s="14" t="inlineStr">
        <is>
          <t>TC-13</t>
        </is>
      </c>
      <c r="B17" s="15" t="inlineStr">
        <is>
          <t>Response time</t>
        </is>
      </c>
      <c r="C17" s="14" t="inlineStr">
        <is>
          <t>Test</t>
        </is>
      </c>
      <c r="D17" s="15" t="inlineStr">
        <is>
          <t>Logic analyser on PA2 / PA3</t>
        </is>
      </c>
      <c r="E17" s="15" t="inlineStr">
        <is>
          <t>Send PING, measure last RX byte to first TX byte.</t>
        </is>
      </c>
      <c r="F17" s="15" t="inlineStr">
        <is>
          <t>Delay &lt; 20 ms.</t>
        </is>
      </c>
      <c r="G17" s="15" t="inlineStr">
        <is>
          <t>SW-REQ-019</t>
        </is>
      </c>
      <c r="H17" s="16" t="inlineStr">
        <is>
          <t>Not run</t>
        </is>
      </c>
      <c r="I17" s="19" t="inlineStr"/>
      <c r="J17" s="19" t="inlineStr"/>
      <c r="K17" s="19" t="inlineStr"/>
    </row>
    <row r="18">
      <c r="A18" s="17" t="inlineStr">
        <is>
          <t>TC-14</t>
        </is>
      </c>
      <c r="B18" s="18" t="inlineStr">
        <is>
          <t>Stack margin</t>
        </is>
      </c>
      <c r="C18" s="17" t="inlineStr">
        <is>
          <t>Analysis</t>
        </is>
      </c>
      <c r="D18" s="18" t="inlineStr">
        <is>
          <t>Debugger attached</t>
        </is>
      </c>
      <c r="E18" s="18" t="inlineStr">
        <is>
          <t>Run TC-09, read uxTaskGetStackHighWaterMark of LinkLayer.</t>
        </is>
      </c>
      <c r="F18" s="18" t="inlineStr">
        <is>
          <t>High-water mark &gt; 32 words.</t>
        </is>
      </c>
      <c r="G18" s="18" t="inlineStr">
        <is>
          <t>SW-REQ-023</t>
        </is>
      </c>
      <c r="H18" s="16" t="inlineStr">
        <is>
          <t>Not run</t>
        </is>
      </c>
      <c r="I18" s="19" t="inlineStr"/>
      <c r="J18" s="19" t="inlineStr"/>
      <c r="K18" s="19" t="inlineStr"/>
    </row>
    <row r="19">
      <c r="A19" s="14" t="inlineStr">
        <is>
          <t>TC-15</t>
        </is>
      </c>
      <c r="B19" s="15" t="inlineStr">
        <is>
          <t>Code review</t>
        </is>
      </c>
      <c r="C19" s="14" t="inlineStr">
        <is>
          <t>Review</t>
        </is>
      </c>
      <c r="D19" s="15" t="inlineStr">
        <is>
          <t>apk5.c reviewed with checklist</t>
        </is>
      </c>
      <c r="E19" s="15" t="inlineStr">
        <is>
          <t>Check ISR calls, LOG strings, DecodeFrame structure.</t>
        </is>
      </c>
      <c r="F19" s="15" t="inlineStr">
        <is>
          <t>Only FromISR calls in ISR; ASCII-only logs; one case per command.</t>
        </is>
      </c>
      <c r="G19" s="15" t="inlineStr">
        <is>
          <t>SW-REQ-017, SW-REQ-022, SW-REQ-025</t>
        </is>
      </c>
      <c r="H19" s="16" t="inlineStr">
        <is>
          <t>Not run</t>
        </is>
      </c>
      <c r="I19" s="19" t="inlineStr"/>
      <c r="J19" s="19" t="inlineStr"/>
      <c r="K19" s="19" t="inlineStr"/>
    </row>
    <row r="20">
      <c r="A20" s="17" t="inlineStr">
        <is>
          <t>TC-16</t>
        </is>
      </c>
      <c r="B20" s="18" t="inlineStr">
        <is>
          <t>Configuration inspection</t>
        </is>
      </c>
      <c r="C20" s="17" t="inlineStr">
        <is>
          <t>Inspection</t>
        </is>
      </c>
      <c r="D20" s="18" t="inlineStr">
        <is>
          <t>Source code</t>
        </is>
      </c>
      <c r="E20" s="18" t="inlineStr">
        <is>
          <t>Inspect stm32f4xx_hal_msp.c, main.h, apk5.c guards.</t>
        </is>
      </c>
      <c r="F20" s="18" t="inlineStr">
        <is>
          <t>USART2 priority 5; APK5 macro guards apk5.c.</t>
        </is>
      </c>
      <c r="G20" s="18" t="inlineStr">
        <is>
          <t>SW-REQ-018, SW-REQ-024</t>
        </is>
      </c>
      <c r="H20" s="16" t="inlineStr">
        <is>
          <t>Not run</t>
        </is>
      </c>
      <c r="I20" s="19" t="inlineStr"/>
      <c r="J20" s="19" t="inlineStr"/>
      <c r="K20" s="19" t="inlineStr"/>
    </row>
  </sheetData>
  <autoFilter ref="A4:K20"/>
  <conditionalFormatting sqref="H5:H20">
    <cfRule type="cellIs" priority="1" operator="equal" dxfId="1">
      <formula>"Passed"</formula>
    </cfRule>
    <cfRule type="cellIs" priority="2" operator="equal" dxfId="2">
      <formula>"Failed"</formula>
    </cfRule>
  </conditionalFormatting>
  <dataValidations count="1">
    <dataValidation sqref="H5:H20" showDropDown="0" showInputMessage="0" showErrorMessage="0" allowBlank="1" errorTitle="Invalid value" error="Pick a value from the list" type="list">
      <formula1>"Not run,Passed,Failed,Blocked"</formula1>
    </dataValidation>
  </dataValidation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T3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8" customWidth="1" min="19" max="19"/>
    <col width="12" customWidth="1" min="20" max="20"/>
  </cols>
  <sheetData>
    <row r="1">
      <c r="A1" s="11" t="inlineStr">
        <is>
          <t>Traceability Matrix SW Requirement x Test Case</t>
        </is>
      </c>
    </row>
    <row r="2">
      <c r="A2" s="12" t="inlineStr">
        <is>
          <t>APK5-SRS-001  |  Version 1.0  |  X = test case verifies the requirement (bidirectional, ASPICE SWE.6 BP5)</t>
        </is>
      </c>
    </row>
    <row r="4" ht="50" customHeight="1">
      <c r="A4" s="13" t="inlineStr">
        <is>
          <t>SW req</t>
        </is>
      </c>
      <c r="B4" s="13" t="inlineStr">
        <is>
          <t>Title</t>
        </is>
      </c>
      <c r="C4" s="20" t="inlineStr">
        <is>
          <t>TC-01</t>
        </is>
      </c>
      <c r="D4" s="20" t="inlineStr">
        <is>
          <t>TC-02</t>
        </is>
      </c>
      <c r="E4" s="20" t="inlineStr">
        <is>
          <t>TC-03</t>
        </is>
      </c>
      <c r="F4" s="20" t="inlineStr">
        <is>
          <t>TC-04</t>
        </is>
      </c>
      <c r="G4" s="20" t="inlineStr">
        <is>
          <t>TC-05</t>
        </is>
      </c>
      <c r="H4" s="20" t="inlineStr">
        <is>
          <t>TC-06</t>
        </is>
      </c>
      <c r="I4" s="20" t="inlineStr">
        <is>
          <t>TC-07</t>
        </is>
      </c>
      <c r="J4" s="20" t="inlineStr">
        <is>
          <t>TC-08</t>
        </is>
      </c>
      <c r="K4" s="20" t="inlineStr">
        <is>
          <t>TC-09</t>
        </is>
      </c>
      <c r="L4" s="20" t="inlineStr">
        <is>
          <t>TC-10</t>
        </is>
      </c>
      <c r="M4" s="20" t="inlineStr">
        <is>
          <t>TC-11</t>
        </is>
      </c>
      <c r="N4" s="20" t="inlineStr">
        <is>
          <t>TC-12</t>
        </is>
      </c>
      <c r="O4" s="20" t="inlineStr">
        <is>
          <t>TC-13</t>
        </is>
      </c>
      <c r="P4" s="20" t="inlineStr">
        <is>
          <t>TC-14</t>
        </is>
      </c>
      <c r="Q4" s="20" t="inlineStr">
        <is>
          <t>TC-15</t>
        </is>
      </c>
      <c r="R4" s="20" t="inlineStr">
        <is>
          <t>TC-16</t>
        </is>
      </c>
      <c r="S4" s="13" t="inlineStr">
        <is>
          <t># tests</t>
        </is>
      </c>
      <c r="T4" s="13" t="inlineStr">
        <is>
          <t>Coverage</t>
        </is>
      </c>
    </row>
    <row r="5">
      <c r="A5" s="14" t="inlineStr">
        <is>
          <t>SW-REQ-001</t>
        </is>
      </c>
      <c r="B5" s="15" t="inlineStr">
        <is>
          <t>Interrupt-driven reception</t>
        </is>
      </c>
      <c r="C5" s="14" t="inlineStr">
        <is>
          <t>X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>
        <f>COUNTIF(C5:R5,"X")</f>
        <v/>
      </c>
      <c r="T5" s="14">
        <f>IF(S5&gt;0,"Covered","NOT COVERED")</f>
        <v/>
      </c>
    </row>
    <row r="6">
      <c r="A6" s="17" t="inlineStr">
        <is>
          <t>SW-REQ-002</t>
        </is>
      </c>
      <c r="B6" s="18" t="inlineStr">
        <is>
          <t>RX state machine</t>
        </is>
      </c>
      <c r="C6" s="17" t="inlineStr">
        <is>
          <t>X</t>
        </is>
      </c>
      <c r="D6" s="17" t="inlineStr"/>
      <c r="E6" s="17" t="inlineStr"/>
      <c r="F6" s="17" t="inlineStr"/>
      <c r="G6" s="17" t="inlineStr"/>
      <c r="H6" s="17" t="inlineStr"/>
      <c r="I6" s="17" t="inlineStr">
        <is>
          <t>X</t>
        </is>
      </c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>
        <f>COUNTIF(C6:R6,"X")</f>
        <v/>
      </c>
      <c r="T6" s="17">
        <f>IF(S6&gt;0,"Covered","NOT COVERED")</f>
        <v/>
      </c>
    </row>
    <row r="7">
      <c r="A7" s="14" t="inlineStr">
        <is>
          <t>SW-REQ-003</t>
        </is>
      </c>
      <c r="B7" s="15" t="inlineStr">
        <is>
          <t>SOF synchronisation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>
        <is>
          <t>X</t>
        </is>
      </c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>
        <f>COUNTIF(C7:R7,"X")</f>
        <v/>
      </c>
      <c r="T7" s="14">
        <f>IF(S7&gt;0,"Covered","NOT COVERED")</f>
        <v/>
      </c>
    </row>
    <row r="8">
      <c r="A8" s="17" t="inlineStr">
        <is>
          <t>SW-REQ-004</t>
        </is>
      </c>
      <c r="B8" s="18" t="inlineStr">
        <is>
          <t>Frame hand-over</t>
        </is>
      </c>
      <c r="C8" s="17" t="inlineStr">
        <is>
          <t>X</t>
        </is>
      </c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>
        <f>COUNTIF(C8:R8,"X")</f>
        <v/>
      </c>
      <c r="T8" s="17">
        <f>IF(S8&gt;0,"Covered","NOT COVERED")</f>
        <v/>
      </c>
    </row>
    <row r="9">
      <c r="A9" s="14" t="inlineStr">
        <is>
          <t>SW-REQ-005</t>
        </is>
      </c>
      <c r="B9" s="15" t="inlineStr">
        <is>
          <t>Inter-byte timeout</t>
        </is>
      </c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>
        <is>
          <t>X</t>
        </is>
      </c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>
        <f>COUNTIF(C9:R9,"X")</f>
        <v/>
      </c>
      <c r="T9" s="14">
        <f>IF(S9&gt;0,"Covered","NOT COVERED")</f>
        <v/>
      </c>
    </row>
    <row r="10">
      <c r="A10" s="17" t="inlineStr">
        <is>
          <t>SW-REQ-006</t>
        </is>
      </c>
      <c r="B10" s="18" t="inlineStr">
        <is>
          <t>UART error recovery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>
        <is>
          <t>X</t>
        </is>
      </c>
      <c r="M10" s="17" t="inlineStr"/>
      <c r="N10" s="17" t="inlineStr"/>
      <c r="O10" s="17" t="inlineStr"/>
      <c r="P10" s="17" t="inlineStr"/>
      <c r="Q10" s="17" t="inlineStr"/>
      <c r="R10" s="17" t="inlineStr"/>
      <c r="S10" s="17">
        <f>COUNTIF(C10:R10,"X")</f>
        <v/>
      </c>
      <c r="T10" s="17">
        <f>IF(S10&gt;0,"Covered","NOT COVERED")</f>
        <v/>
      </c>
    </row>
    <row r="11">
      <c r="A11" s="14" t="inlineStr">
        <is>
          <t>SW-REQ-007</t>
        </is>
      </c>
      <c r="B11" s="15" t="inlineStr">
        <is>
          <t>LinkLayer task</t>
        </is>
      </c>
      <c r="C11" s="14" t="inlineStr">
        <is>
          <t>X</t>
        </is>
      </c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X</t>
        </is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>
        <f>COUNTIF(C11:R11,"X")</f>
        <v/>
      </c>
      <c r="T11" s="14">
        <f>IF(S11&gt;0,"Covered","NOT COVERED")</f>
        <v/>
      </c>
    </row>
    <row r="12">
      <c r="A12" s="17" t="inlineStr">
        <is>
          <t>SW-REQ-008</t>
        </is>
      </c>
      <c r="B12" s="18" t="inlineStr">
        <is>
          <t>PING command</t>
        </is>
      </c>
      <c r="C12" s="17" t="inlineStr">
        <is>
          <t>X</t>
        </is>
      </c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>
        <f>COUNTIF(C12:R12,"X")</f>
        <v/>
      </c>
      <c r="T12" s="17">
        <f>IF(S12&gt;0,"Covered","NOT COVERED")</f>
        <v/>
      </c>
    </row>
    <row r="13">
      <c r="A13" s="14" t="inlineStr">
        <is>
          <t>SW-REQ-009</t>
        </is>
      </c>
      <c r="B13" s="15" t="inlineStr">
        <is>
          <t>LED_SET command</t>
        </is>
      </c>
      <c r="C13" s="14" t="inlineStr"/>
      <c r="D13" s="14" t="inlineStr">
        <is>
          <t>X</t>
        </is>
      </c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>
        <f>COUNTIF(C13:R13,"X")</f>
        <v/>
      </c>
      <c r="T13" s="14">
        <f>IF(S13&gt;0,"Covered","NOT COVERED")</f>
        <v/>
      </c>
    </row>
    <row r="14">
      <c r="A14" s="17" t="inlineStr">
        <is>
          <t>SW-REQ-010</t>
        </is>
      </c>
      <c r="B14" s="18" t="inlineStr">
        <is>
          <t>LED_TOGGLE command</t>
        </is>
      </c>
      <c r="C14" s="17" t="inlineStr"/>
      <c r="D14" s="17" t="inlineStr"/>
      <c r="E14" s="17" t="inlineStr">
        <is>
          <t>X</t>
        </is>
      </c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>
        <f>COUNTIF(C14:R14,"X")</f>
        <v/>
      </c>
      <c r="T14" s="17">
        <f>IF(S14&gt;0,"Covered","NOT COVERED")</f>
        <v/>
      </c>
    </row>
    <row r="15">
      <c r="A15" s="14" t="inlineStr">
        <is>
          <t>SW-REQ-011</t>
        </is>
      </c>
      <c r="B15" s="15" t="inlineStr">
        <is>
          <t>GET_BUTTON command</t>
        </is>
      </c>
      <c r="C15" s="14" t="inlineStr"/>
      <c r="D15" s="14" t="inlineStr"/>
      <c r="E15" s="14" t="inlineStr"/>
      <c r="F15" s="14" t="inlineStr"/>
      <c r="G15" s="14" t="inlineStr"/>
      <c r="H15" s="14" t="inlineStr">
        <is>
          <t>X</t>
        </is>
      </c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>
        <f>COUNTIF(C15:R15,"X")</f>
        <v/>
      </c>
      <c r="T15" s="14">
        <f>IF(S15&gt;0,"Covered","NOT COVERED")</f>
        <v/>
      </c>
    </row>
    <row r="16">
      <c r="A16" s="17" t="inlineStr">
        <is>
          <t>SW-REQ-012</t>
        </is>
      </c>
      <c r="B16" s="18" t="inlineStr">
        <is>
          <t>Unknown command</t>
        </is>
      </c>
      <c r="C16" s="17" t="inlineStr"/>
      <c r="D16" s="17" t="inlineStr"/>
      <c r="E16" s="17" t="inlineStr"/>
      <c r="F16" s="17" t="inlineStr"/>
      <c r="G16" s="17" t="inlineStr">
        <is>
          <t>X</t>
        </is>
      </c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>
        <f>COUNTIF(C16:R16,"X")</f>
        <v/>
      </c>
      <c r="T16" s="17">
        <f>IF(S16&gt;0,"Covered","NOT COVERED")</f>
        <v/>
      </c>
    </row>
    <row r="17">
      <c r="A17" s="14" t="inlineStr">
        <is>
          <t>SW-REQ-013</t>
        </is>
      </c>
      <c r="B17" s="15" t="inlineStr">
        <is>
          <t>Parameter range check</t>
        </is>
      </c>
      <c r="C17" s="14" t="inlineStr"/>
      <c r="D17" s="14" t="inlineStr"/>
      <c r="E17" s="14" t="inlineStr"/>
      <c r="F17" s="14" t="inlineStr">
        <is>
          <t>X</t>
        </is>
      </c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>
        <f>COUNTIF(C17:R17,"X")</f>
        <v/>
      </c>
      <c r="T17" s="14">
        <f>IF(S17&gt;0,"Covered","NOT COVERED")</f>
        <v/>
      </c>
    </row>
    <row r="18">
      <c r="A18" s="17" t="inlineStr">
        <is>
          <t>SW-REQ-014</t>
        </is>
      </c>
      <c r="B18" s="18" t="inlineStr">
        <is>
          <t>One response per frame</t>
        </is>
      </c>
      <c r="C18" s="17" t="inlineStr">
        <is>
          <t>X</t>
        </is>
      </c>
      <c r="D18" s="17" t="inlineStr"/>
      <c r="E18" s="17" t="inlineStr"/>
      <c r="F18" s="17" t="inlineStr"/>
      <c r="G18" s="17" t="inlineStr">
        <is>
          <t>X</t>
        </is>
      </c>
      <c r="H18" s="17" t="inlineStr"/>
      <c r="I18" s="17" t="inlineStr"/>
      <c r="J18" s="17" t="inlineStr"/>
      <c r="K18" s="17" t="inlineStr">
        <is>
          <t>X</t>
        </is>
      </c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>
        <f>COUNTIF(C18:R18,"X")</f>
        <v/>
      </c>
      <c r="T18" s="17">
        <f>IF(S18&gt;0,"Covered","NOT COVERED")</f>
        <v/>
      </c>
    </row>
    <row r="19">
      <c r="A19" s="14" t="inlineStr">
        <is>
          <t>SW-REQ-015</t>
        </is>
      </c>
      <c r="B19" s="15" t="inlineStr">
        <is>
          <t>Response frame format</t>
        </is>
      </c>
      <c r="C19" s="14" t="inlineStr">
        <is>
          <t>X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>
        <f>COUNTIF(C19:R19,"X")</f>
        <v/>
      </c>
      <c r="T19" s="14">
        <f>IF(S19&gt;0,"Covered","NOT COVERED")</f>
        <v/>
      </c>
    </row>
    <row r="20">
      <c r="A20" s="17" t="inlineStr">
        <is>
          <t>SW-REQ-016</t>
        </is>
      </c>
      <c r="B20" s="18" t="inlineStr">
        <is>
          <t>Frame trace</t>
        </is>
      </c>
      <c r="C20" s="17" t="inlineStr">
        <is>
          <t>X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7">
        <f>COUNTIF(C20:R20,"X")</f>
        <v/>
      </c>
      <c r="T20" s="17">
        <f>IF(S20&gt;0,"Covered","NOT COVERED")</f>
        <v/>
      </c>
    </row>
    <row r="21">
      <c r="A21" s="14" t="inlineStr">
        <is>
          <t>SW-REQ-017</t>
        </is>
      </c>
      <c r="B21" s="15" t="inlineStr">
        <is>
          <t>ISR constraints</t>
        </is>
      </c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>
        <is>
          <t>X</t>
        </is>
      </c>
      <c r="R21" s="14" t="inlineStr"/>
      <c r="S21" s="14">
        <f>COUNTIF(C21:R21,"X")</f>
        <v/>
      </c>
      <c r="T21" s="14">
        <f>IF(S21&gt;0,"Covered","NOT COVERED")</f>
        <v/>
      </c>
    </row>
    <row r="22">
      <c r="A22" s="17" t="inlineStr">
        <is>
          <t>SW-REQ-018</t>
        </is>
      </c>
      <c r="B22" s="18" t="inlineStr">
        <is>
          <t>Interrupt priority</t>
        </is>
      </c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>
        <is>
          <t>X</t>
        </is>
      </c>
      <c r="S22" s="17">
        <f>COUNTIF(C22:R22,"X")</f>
        <v/>
      </c>
      <c r="T22" s="17">
        <f>IF(S22&gt;0,"Covered","NOT COVERED")</f>
        <v/>
      </c>
    </row>
    <row r="23">
      <c r="A23" s="14" t="inlineStr">
        <is>
          <t>SW-REQ-019</t>
        </is>
      </c>
      <c r="B23" s="15" t="inlineStr">
        <is>
          <t>Response time</t>
        </is>
      </c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>
        <is>
          <t>X</t>
        </is>
      </c>
      <c r="P23" s="14" t="inlineStr"/>
      <c r="Q23" s="14" t="inlineStr"/>
      <c r="R23" s="14" t="inlineStr"/>
      <c r="S23" s="14">
        <f>COUNTIF(C23:R23,"X")</f>
        <v/>
      </c>
      <c r="T23" s="14">
        <f>IF(S23&gt;0,"Covered","NOT COVERED")</f>
        <v/>
      </c>
    </row>
    <row r="24">
      <c r="A24" s="17" t="inlineStr">
        <is>
          <t>SW-REQ-020</t>
        </is>
      </c>
      <c r="B24" s="18" t="inlineStr">
        <is>
          <t>Queue capacity</t>
        </is>
      </c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>
        <is>
          <t>X</t>
        </is>
      </c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>
        <f>COUNTIF(C24:R24,"X")</f>
        <v/>
      </c>
      <c r="T24" s="17">
        <f>IF(S24&gt;0,"Covered","NOT COVERED")</f>
        <v/>
      </c>
    </row>
    <row r="25">
      <c r="A25" s="14" t="inlineStr">
        <is>
          <t>SW-REQ-021</t>
        </is>
      </c>
      <c r="B25" s="15" t="inlineStr">
        <is>
          <t>UART mutual exclusion</t>
        </is>
      </c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>
        <is>
          <t>X</t>
        </is>
      </c>
      <c r="N25" s="14" t="inlineStr"/>
      <c r="O25" s="14" t="inlineStr"/>
      <c r="P25" s="14" t="inlineStr"/>
      <c r="Q25" s="14" t="inlineStr"/>
      <c r="R25" s="14" t="inlineStr"/>
      <c r="S25" s="14">
        <f>COUNTIF(C25:R25,"X")</f>
        <v/>
      </c>
      <c r="T25" s="14">
        <f>IF(S25&gt;0,"Covered","NOT COVERED")</f>
        <v/>
      </c>
    </row>
    <row r="26">
      <c r="A26" s="17" t="inlineStr">
        <is>
          <t>SW-REQ-022</t>
        </is>
      </c>
      <c r="B26" s="18" t="inlineStr">
        <is>
          <t>Log character set</t>
        </is>
      </c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>
        <is>
          <t>X</t>
        </is>
      </c>
      <c r="N26" s="17" t="inlineStr"/>
      <c r="O26" s="17" t="inlineStr"/>
      <c r="P26" s="17" t="inlineStr"/>
      <c r="Q26" s="17" t="inlineStr">
        <is>
          <t>X</t>
        </is>
      </c>
      <c r="R26" s="17" t="inlineStr"/>
      <c r="S26" s="17">
        <f>COUNTIF(C26:R26,"X")</f>
        <v/>
      </c>
      <c r="T26" s="17">
        <f>IF(S26&gt;0,"Covered","NOT COVERED")</f>
        <v/>
      </c>
    </row>
    <row r="27">
      <c r="A27" s="14" t="inlineStr">
        <is>
          <t>SW-REQ-023</t>
        </is>
      </c>
      <c r="B27" s="15" t="inlineStr">
        <is>
          <t>Task resources</t>
        </is>
      </c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>
        <is>
          <t>X</t>
        </is>
      </c>
      <c r="Q27" s="14" t="inlineStr"/>
      <c r="R27" s="14" t="inlineStr"/>
      <c r="S27" s="14">
        <f>COUNTIF(C27:R27,"X")</f>
        <v/>
      </c>
      <c r="T27" s="14">
        <f>IF(S27&gt;0,"Covered","NOT COVERED")</f>
        <v/>
      </c>
    </row>
    <row r="28">
      <c r="A28" s="17" t="inlineStr">
        <is>
          <t>SW-REQ-024</t>
        </is>
      </c>
      <c r="B28" s="18" t="inlineStr">
        <is>
          <t>Build selection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>
        <is>
          <t>X</t>
        </is>
      </c>
      <c r="S28" s="17">
        <f>COUNTIF(C28:R28,"X")</f>
        <v/>
      </c>
      <c r="T28" s="17">
        <f>IF(S28&gt;0,"Covered","NOT COVERED")</f>
        <v/>
      </c>
    </row>
    <row r="29">
      <c r="A29" s="14" t="inlineStr">
        <is>
          <t>SW-REQ-025</t>
        </is>
      </c>
      <c r="B29" s="15" t="inlineStr">
        <is>
          <t>Extensibility</t>
        </is>
      </c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>
        <is>
          <t>X</t>
        </is>
      </c>
      <c r="R29" s="14" t="inlineStr"/>
      <c r="S29" s="14">
        <f>COUNTIF(C29:R29,"X")</f>
        <v/>
      </c>
      <c r="T29" s="14">
        <f>IF(S29&gt;0,"Covered","NOT COVERED")</f>
        <v/>
      </c>
    </row>
    <row r="30">
      <c r="A30" s="17" t="inlineStr">
        <is>
          <t>SW-REQ-026</t>
        </is>
      </c>
      <c r="B30" s="18" t="inlineStr">
        <is>
          <t>COM port management</t>
        </is>
      </c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>
        <is>
          <t>X</t>
        </is>
      </c>
      <c r="M30" s="17" t="inlineStr"/>
      <c r="N30" s="17" t="inlineStr"/>
      <c r="O30" s="17" t="inlineStr"/>
      <c r="P30" s="17" t="inlineStr"/>
      <c r="Q30" s="17" t="inlineStr"/>
      <c r="R30" s="17" t="inlineStr"/>
      <c r="S30" s="17">
        <f>COUNTIF(C30:R30,"X")</f>
        <v/>
      </c>
      <c r="T30" s="17">
        <f>IF(S30&gt;0,"Covered","NOT COVERED")</f>
        <v/>
      </c>
    </row>
    <row r="31">
      <c r="A31" s="14" t="inlineStr">
        <is>
          <t>SW-REQ-027</t>
        </is>
      </c>
      <c r="B31" s="15" t="inlineStr">
        <is>
          <t>Command controls</t>
        </is>
      </c>
      <c r="C31" s="14" t="inlineStr"/>
      <c r="D31" s="14" t="inlineStr">
        <is>
          <t>X</t>
        </is>
      </c>
      <c r="E31" s="14" t="inlineStr">
        <is>
          <t>X</t>
        </is>
      </c>
      <c r="F31" s="14" t="inlineStr"/>
      <c r="G31" s="14" t="inlineStr"/>
      <c r="H31" s="14" t="inlineStr">
        <is>
          <t>X</t>
        </is>
      </c>
      <c r="I31" s="14" t="inlineStr"/>
      <c r="J31" s="14" t="inlineStr"/>
      <c r="K31" s="14" t="inlineStr"/>
      <c r="L31" s="14" t="inlineStr"/>
      <c r="M31" s="14" t="inlineStr"/>
      <c r="N31" s="14" t="inlineStr">
        <is>
          <t>X</t>
        </is>
      </c>
      <c r="O31" s="14" t="inlineStr"/>
      <c r="P31" s="14" t="inlineStr"/>
      <c r="Q31" s="14" t="inlineStr"/>
      <c r="R31" s="14" t="inlineStr"/>
      <c r="S31" s="14">
        <f>COUNTIF(C31:R31,"X")</f>
        <v/>
      </c>
      <c r="T31" s="14">
        <f>IF(S31&gt;0,"Covered","NOT COVERED")</f>
        <v/>
      </c>
    </row>
    <row r="32">
      <c r="A32" s="17" t="inlineStr">
        <is>
          <t>SW-REQ-028</t>
        </is>
      </c>
      <c r="B32" s="18" t="inlineStr">
        <is>
          <t>Custom frame</t>
        </is>
      </c>
      <c r="C32" s="17" t="inlineStr"/>
      <c r="D32" s="17" t="inlineStr"/>
      <c r="E32" s="17" t="inlineStr"/>
      <c r="F32" s="17" t="inlineStr"/>
      <c r="G32" s="17" t="inlineStr">
        <is>
          <t>X</t>
        </is>
      </c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>
        <f>COUNTIF(C32:R32,"X")</f>
        <v/>
      </c>
      <c r="T32" s="17">
        <f>IF(S32&gt;0,"Covered","NOT COVERED")</f>
        <v/>
      </c>
    </row>
    <row r="33">
      <c r="A33" s="14" t="inlineStr">
        <is>
          <t>SW-REQ-029</t>
        </is>
      </c>
      <c r="B33" s="15" t="inlineStr">
        <is>
          <t>Host frame parser</t>
        </is>
      </c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>
        <is>
          <t>X</t>
        </is>
      </c>
      <c r="N33" s="14" t="inlineStr"/>
      <c r="O33" s="14" t="inlineStr"/>
      <c r="P33" s="14" t="inlineStr"/>
      <c r="Q33" s="14" t="inlineStr"/>
      <c r="R33" s="14" t="inlineStr"/>
      <c r="S33" s="14">
        <f>COUNTIF(C33:R33,"X")</f>
        <v/>
      </c>
      <c r="T33" s="14">
        <f>IF(S33&gt;0,"Covered","NOT COVERED")</f>
        <v/>
      </c>
    </row>
    <row r="34">
      <c r="A34" s="17" t="inlineStr">
        <is>
          <t>SW-REQ-030</t>
        </is>
      </c>
      <c r="B34" s="18" t="inlineStr">
        <is>
          <t>Log display</t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>
        <is>
          <t>X</t>
        </is>
      </c>
      <c r="N34" s="17" t="inlineStr"/>
      <c r="O34" s="17" t="inlineStr"/>
      <c r="P34" s="17" t="inlineStr"/>
      <c r="Q34" s="17" t="inlineStr"/>
      <c r="R34" s="17" t="inlineStr"/>
      <c r="S34" s="17">
        <f>COUNTIF(C34:R34,"X")</f>
        <v/>
      </c>
      <c r="T34" s="17">
        <f>IF(S34&gt;0,"Covered","NOT COVERED")</f>
        <v/>
      </c>
    </row>
    <row r="35">
      <c r="A35" s="14" t="inlineStr">
        <is>
          <t>SW-REQ-031</t>
        </is>
      </c>
      <c r="B35" s="15" t="inlineStr">
        <is>
          <t>Responsive GUI</t>
        </is>
      </c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>
        <is>
          <t>X</t>
        </is>
      </c>
      <c r="O35" s="14" t="inlineStr"/>
      <c r="P35" s="14" t="inlineStr"/>
      <c r="Q35" s="14" t="inlineStr"/>
      <c r="R35" s="14" t="inlineStr"/>
      <c r="S35" s="14">
        <f>COUNTIF(C35:R35,"X")</f>
        <v/>
      </c>
      <c r="T35" s="14">
        <f>IF(S35&gt;0,"Covered","NOT COVERED")</f>
        <v/>
      </c>
    </row>
    <row r="36">
      <c r="A36" s="8" t="inlineStr">
        <is>
          <t># reqs</t>
        </is>
      </c>
      <c r="C36" s="21">
        <f>COUNTIF(C5:C35,"X")</f>
        <v/>
      </c>
      <c r="D36" s="21">
        <f>COUNTIF(D5:D35,"X")</f>
        <v/>
      </c>
      <c r="E36" s="21">
        <f>COUNTIF(E5:E35,"X")</f>
        <v/>
      </c>
      <c r="F36" s="21">
        <f>COUNTIF(F5:F35,"X")</f>
        <v/>
      </c>
      <c r="G36" s="21">
        <f>COUNTIF(G5:G35,"X")</f>
        <v/>
      </c>
      <c r="H36" s="21">
        <f>COUNTIF(H5:H35,"X")</f>
        <v/>
      </c>
      <c r="I36" s="21">
        <f>COUNTIF(I5:I35,"X")</f>
        <v/>
      </c>
      <c r="J36" s="21">
        <f>COUNTIF(J5:J35,"X")</f>
        <v/>
      </c>
      <c r="K36" s="21">
        <f>COUNTIF(K5:K35,"X")</f>
        <v/>
      </c>
      <c r="L36" s="21">
        <f>COUNTIF(L5:L35,"X")</f>
        <v/>
      </c>
      <c r="M36" s="21">
        <f>COUNTIF(M5:M35,"X")</f>
        <v/>
      </c>
      <c r="N36" s="21">
        <f>COUNTIF(N5:N35,"X")</f>
        <v/>
      </c>
      <c r="O36" s="21">
        <f>COUNTIF(O5:O35,"X")</f>
        <v/>
      </c>
      <c r="P36" s="21">
        <f>COUNTIF(P5:P35,"X")</f>
        <v/>
      </c>
      <c r="Q36" s="21">
        <f>COUNTIF(Q5:Q35,"X")</f>
        <v/>
      </c>
      <c r="R36" s="21">
        <f>COUNTIF(R5:R35,"X")</f>
        <v/>
      </c>
    </row>
  </sheetData>
  <autoFilter ref="A4:T35"/>
  <conditionalFormatting sqref="C5:R35">
    <cfRule type="cellIs" priority="1" operator="equal" dxfId="3">
      <formula>"X"</formula>
    </cfRule>
  </conditionalFormatting>
  <conditionalFormatting sqref="T5:T35">
    <cfRule type="cellIs" priority="2" operator="equal" dxfId="2">
      <formula>"NOT COVERED"</formula>
    </cfRule>
    <cfRule type="cellIs" priority="3" operator="equal" dxfId="1">
      <formula>"Covered"</formula>
    </cfRule>
  </conditionalFormatting>
  <conditionalFormatting sqref="C36:R36">
    <cfRule type="cellIs" priority="4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1" t="inlineStr">
        <is>
          <t>Dashboard</t>
        </is>
      </c>
    </row>
    <row r="2">
      <c r="A2" s="12" t="inlineStr">
        <is>
          <t>APK5-SRS-001  |  Version 1.0  |  All values are formulas - they update when the sheets change</t>
        </is>
      </c>
    </row>
    <row r="4">
      <c r="A4" s="22" t="inlineStr">
        <is>
          <t>Total SW requirements</t>
        </is>
      </c>
      <c r="B4" s="4">
        <f>COUNTA('SW Requirements'!$A$5:$A$35)</f>
        <v/>
      </c>
      <c r="C4" s="4" t="n"/>
    </row>
    <row r="5">
      <c r="A5" s="22" t="inlineStr">
        <is>
          <t>Total system requirements</t>
        </is>
      </c>
      <c r="B5" s="4">
        <f>COUNTA('System Requirements'!$A$5:$A$13)</f>
        <v/>
      </c>
      <c r="C5" s="4" t="n"/>
    </row>
    <row r="6">
      <c r="A6" s="22" t="inlineStr">
        <is>
          <t>Total test cases</t>
        </is>
      </c>
      <c r="B6" s="4">
        <f>COUNTA('Test Specification'!$A$5:$A$20)</f>
        <v/>
      </c>
      <c r="C6" s="4" t="n"/>
    </row>
    <row r="7">
      <c r="A7" s="22" t="inlineStr">
        <is>
          <t>SW reqs covered by a test</t>
        </is>
      </c>
      <c r="B7" s="4">
        <f>COUNTIF(Traceability!$T$5:$T$35,"Covered")</f>
        <v/>
      </c>
      <c r="C7" s="23">
        <f>IF(B4=0,0,B7/B4)</f>
        <v/>
      </c>
    </row>
    <row r="8">
      <c r="A8" s="22" t="inlineStr">
        <is>
          <t>SYS reqs without SW req</t>
        </is>
      </c>
      <c r="B8" s="4">
        <f>COUNTIF('System Requirements'!$I$5:$I$13,0)</f>
        <v/>
      </c>
      <c r="C8" s="4" t="n"/>
    </row>
    <row r="9">
      <c r="A9" s="22" t="inlineStr">
        <is>
          <t>SW reqs with invalid parent</t>
        </is>
      </c>
      <c r="B9" s="4">
        <f>COUNTIF('SW Requirements'!$N$5:$N$35,"MISSING")</f>
        <v/>
      </c>
      <c r="C9" s="4" t="n"/>
    </row>
    <row r="11">
      <c r="A11" s="6" t="inlineStr">
        <is>
          <t>SW requirements by status</t>
        </is>
      </c>
    </row>
    <row r="12">
      <c r="A12" s="7" t="inlineStr">
        <is>
          <t>Status</t>
        </is>
      </c>
      <c r="B12" s="7" t="inlineStr">
        <is>
          <t>Count</t>
        </is>
      </c>
      <c r="C12" s="7" t="inlineStr">
        <is>
          <t>Share</t>
        </is>
      </c>
    </row>
    <row r="13">
      <c r="A13" s="4" t="inlineStr">
        <is>
          <t>Draft</t>
        </is>
      </c>
      <c r="B13" s="4">
        <f>COUNTIF('SW Requirements'!$I$5:$I$35,A13)</f>
        <v/>
      </c>
      <c r="C13" s="23">
        <f>IF($B$4=0,0,B13/$B$4)</f>
        <v/>
      </c>
    </row>
    <row r="14">
      <c r="A14" s="4" t="inlineStr">
        <is>
          <t>In review</t>
        </is>
      </c>
      <c r="B14" s="4">
        <f>COUNTIF('SW Requirements'!$I$5:$I$35,A14)</f>
        <v/>
      </c>
      <c r="C14" s="23">
        <f>IF($B$4=0,0,B14/$B$4)</f>
        <v/>
      </c>
    </row>
    <row r="15">
      <c r="A15" s="4" t="inlineStr">
        <is>
          <t>Accepted</t>
        </is>
      </c>
      <c r="B15" s="4">
        <f>COUNTIF('SW Requirements'!$I$5:$I$35,A15)</f>
        <v/>
      </c>
      <c r="C15" s="23">
        <f>IF($B$4=0,0,B15/$B$4)</f>
        <v/>
      </c>
    </row>
    <row r="16">
      <c r="A16" s="4" t="inlineStr">
        <is>
          <t>Rejected</t>
        </is>
      </c>
      <c r="B16" s="4">
        <f>COUNTIF('SW Requirements'!$I$5:$I$35,A16)</f>
        <v/>
      </c>
      <c r="C16" s="23">
        <f>IF($B$4=0,0,B16/$B$4)</f>
        <v/>
      </c>
    </row>
    <row r="17">
      <c r="A17" s="4" t="inlineStr">
        <is>
          <t>Deferred</t>
        </is>
      </c>
      <c r="B17" s="4">
        <f>COUNTIF('SW Requirements'!$I$5:$I$35,A17)</f>
        <v/>
      </c>
      <c r="C17" s="23">
        <f>IF($B$4=0,0,B17/$B$4)</f>
        <v/>
      </c>
    </row>
    <row r="20">
      <c r="A20" s="6" t="inlineStr">
        <is>
          <t>SW requirements by type</t>
        </is>
      </c>
    </row>
    <row r="21">
      <c r="A21" s="7" t="inlineStr">
        <is>
          <t>Type</t>
        </is>
      </c>
      <c r="B21" s="7" t="inlineStr">
        <is>
          <t>Count</t>
        </is>
      </c>
      <c r="C21" s="7" t="inlineStr">
        <is>
          <t>Share</t>
        </is>
      </c>
    </row>
    <row r="22">
      <c r="A22" s="4" t="inlineStr">
        <is>
          <t>Functional</t>
        </is>
      </c>
      <c r="B22" s="4">
        <f>COUNTIF('SW Requirements'!$D$5:$D$35,A22)</f>
        <v/>
      </c>
      <c r="C22" s="23">
        <f>IF($B$4=0,0,B22/$B$4)</f>
        <v/>
      </c>
    </row>
    <row r="23">
      <c r="A23" s="4" t="inlineStr">
        <is>
          <t>Non-functional</t>
        </is>
      </c>
      <c r="B23" s="4">
        <f>COUNTIF('SW Requirements'!$D$5:$D$35,A23)</f>
        <v/>
      </c>
      <c r="C23" s="23">
        <f>IF($B$4=0,0,B23/$B$4)</f>
        <v/>
      </c>
    </row>
    <row r="24">
      <c r="A24" s="4" t="inlineStr">
        <is>
          <t>Interface</t>
        </is>
      </c>
      <c r="B24" s="4">
        <f>COUNTIF('SW Requirements'!$D$5:$D$35,A24)</f>
        <v/>
      </c>
      <c r="C24" s="23">
        <f>IF($B$4=0,0,B24/$B$4)</f>
        <v/>
      </c>
    </row>
    <row r="25">
      <c r="A25" s="4" t="inlineStr">
        <is>
          <t>Performance</t>
        </is>
      </c>
      <c r="B25" s="4">
        <f>COUNTIF('SW Requirements'!$D$5:$D$35,A25)</f>
        <v/>
      </c>
      <c r="C25" s="23">
        <f>IF($B$4=0,0,B25/$B$4)</f>
        <v/>
      </c>
    </row>
    <row r="26">
      <c r="A26" s="4" t="inlineStr">
        <is>
          <t>Constraint</t>
        </is>
      </c>
      <c r="B26" s="4">
        <f>COUNTIF('SW Requirements'!$D$5:$D$35,A26)</f>
        <v/>
      </c>
      <c r="C26" s="23">
        <f>IF($B$4=0,0,B26/$B$4)</f>
        <v/>
      </c>
    </row>
    <row r="29">
      <c r="A29" s="6" t="inlineStr">
        <is>
          <t>SW requirements by verification method</t>
        </is>
      </c>
    </row>
    <row r="30">
      <c r="A30" s="7" t="inlineStr">
        <is>
          <t>Method</t>
        </is>
      </c>
      <c r="B30" s="7" t="inlineStr">
        <is>
          <t>Count</t>
        </is>
      </c>
      <c r="C30" s="7" t="inlineStr">
        <is>
          <t>Share</t>
        </is>
      </c>
    </row>
    <row r="31">
      <c r="A31" s="4" t="inlineStr">
        <is>
          <t>Test</t>
        </is>
      </c>
      <c r="B31" s="4">
        <f>COUNTIF('SW Requirements'!$J$5:$J$35,A31)</f>
        <v/>
      </c>
      <c r="C31" s="23">
        <f>IF($B$4=0,0,B31/$B$4)</f>
        <v/>
      </c>
    </row>
    <row r="32">
      <c r="A32" s="4" t="inlineStr">
        <is>
          <t>Analysis</t>
        </is>
      </c>
      <c r="B32" s="4">
        <f>COUNTIF('SW Requirements'!$J$5:$J$35,A32)</f>
        <v/>
      </c>
      <c r="C32" s="23">
        <f>IF($B$4=0,0,B32/$B$4)</f>
        <v/>
      </c>
    </row>
    <row r="33">
      <c r="A33" s="4" t="inlineStr">
        <is>
          <t>Review</t>
        </is>
      </c>
      <c r="B33" s="4">
        <f>COUNTIF('SW Requirements'!$J$5:$J$35,A33)</f>
        <v/>
      </c>
      <c r="C33" s="23">
        <f>IF($B$4=0,0,B33/$B$4)</f>
        <v/>
      </c>
    </row>
    <row r="34">
      <c r="A34" s="4" t="inlineStr">
        <is>
          <t>Inspection</t>
        </is>
      </c>
      <c r="B34" s="4">
        <f>COUNTIF('SW Requirements'!$J$5:$J$35,A34)</f>
        <v/>
      </c>
      <c r="C34" s="23">
        <f>IF($B$4=0,0,B34/$B$4)</f>
        <v/>
      </c>
    </row>
    <row r="35">
      <c r="A35" s="4" t="inlineStr">
        <is>
          <t>Demonstration</t>
        </is>
      </c>
      <c r="B35" s="4">
        <f>COUNTIF('SW Requirements'!$J$5:$J$35,A35)</f>
        <v/>
      </c>
      <c r="C35" s="23">
        <f>IF($B$4=0,0,B35/$B$4)</f>
        <v/>
      </c>
    </row>
    <row r="38">
      <c r="A38" s="6" t="inlineStr">
        <is>
          <t>Test results</t>
        </is>
      </c>
    </row>
    <row r="39">
      <c r="A39" s="7" t="inlineStr">
        <is>
          <t>Result</t>
        </is>
      </c>
      <c r="B39" s="7" t="inlineStr">
        <is>
          <t>Count</t>
        </is>
      </c>
      <c r="C39" s="7" t="inlineStr">
        <is>
          <t>Share</t>
        </is>
      </c>
    </row>
    <row r="40">
      <c r="A40" s="4" t="inlineStr">
        <is>
          <t>Not run</t>
        </is>
      </c>
      <c r="B40" s="4">
        <f>COUNTIF('Test Specification'!$H$5:$H$20,A40)</f>
        <v/>
      </c>
      <c r="C40" s="23">
        <f>IF($B$6=0,0,B40/$B$6)</f>
        <v/>
      </c>
    </row>
    <row r="41">
      <c r="A41" s="4" t="inlineStr">
        <is>
          <t>Passed</t>
        </is>
      </c>
      <c r="B41" s="4">
        <f>COUNTIF('Test Specification'!$H$5:$H$20,A41)</f>
        <v/>
      </c>
      <c r="C41" s="23">
        <f>IF($B$6=0,0,B41/$B$6)</f>
        <v/>
      </c>
    </row>
    <row r="42">
      <c r="A42" s="4" t="inlineStr">
        <is>
          <t>Failed</t>
        </is>
      </c>
      <c r="B42" s="4">
        <f>COUNTIF('Test Specification'!$H$5:$H$20,A42)</f>
        <v/>
      </c>
      <c r="C42" s="23">
        <f>IF($B$6=0,0,B42/$B$6)</f>
        <v/>
      </c>
    </row>
    <row r="43">
      <c r="A43" s="4" t="inlineStr">
        <is>
          <t>Blocked</t>
        </is>
      </c>
      <c r="B43" s="4">
        <f>COUNTIF('Test Specification'!$H$5:$H$20,A43)</f>
        <v/>
      </c>
      <c r="C43" s="23">
        <f>IF($B$6=0,0,B43/$B$6)</f>
        <v/>
      </c>
    </row>
  </sheetData>
  <conditionalFormatting sqref="B8:B9">
    <cfRule type="cellIs" priority="1" operator="greaterThan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2026-10-10T07:12:34Z</dcterms:created>
  <dcterms:modified xsi:type="dcterms:W3CDTF">2026-10-10T07:12:34Z</dcterms:modified>
</cp:coreProperties>
</file>