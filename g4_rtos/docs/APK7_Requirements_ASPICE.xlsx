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Exercise" sheetId="2" state="visible" r:id="rId2"/>
    <sheet name="System Requirements" sheetId="3" state="visible" r:id="rId3"/>
    <sheet name="SW Requirements" sheetId="4" state="visible" r:id="rId4"/>
    <sheet name="Events &amp; Timers" sheetId="5" state="visible" r:id="rId5"/>
    <sheet name="SW Components" sheetId="6" state="visible" r:id="rId6"/>
    <sheet name="Test Specification" sheetId="7" state="visible" r:id="rId7"/>
    <sheet name="Traceability" sheetId="8" state="visible" r:id="rId8"/>
    <sheet name="Dashboard" sheetId="9" state="visible" r:id="rId9"/>
  </sheets>
  <definedNames>
    <definedName name="_xlnm._FilterDatabase" localSheetId="1" hidden="1">'Exercise'!$A$5:$G$14</definedName>
    <definedName name="_xlnm._FilterDatabase" localSheetId="2" hidden="1">'System Requirements'!$A$4:$I$10</definedName>
    <definedName name="_xlnm._FilterDatabase" localSheetId="3" hidden="1">'SW Requirements'!$A$4:$O$23</definedName>
    <definedName name="_xlnm._FilterDatabase" localSheetId="5" hidden="1">'SW Components'!$A$4:$G$14</definedName>
    <definedName name="_xlnm._FilterDatabase" localSheetId="6" hidden="1">'Test Specification'!$A$4:$K$12</definedName>
    <definedName name="_xlnm._FilterDatabase" localSheetId="7" hidden="1">'Traceability'!$A$4:$L$23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i val="1"/>
      <color rgb="00595959"/>
      <sz val="11"/>
    </font>
    <font>
      <name val="Arial"/>
      <b val="1"/>
      <sz val="10"/>
    </font>
    <font>
      <name val="Arial"/>
      <sz val="10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i val="1"/>
      <sz val="10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left/>
      <right/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0" fillId="0" borderId="4" pivotButton="0" quotePrefix="0" xfId="0"/>
    <xf numFmtId="0" fontId="5" fillId="0" borderId="0" pivotButton="0" quotePrefix="0" xfId="0"/>
    <xf numFmtId="0" fontId="6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top" wrapText="1"/>
    </xf>
    <xf numFmtId="0" fontId="0" fillId="0" borderId="5" pivotButton="0" quotePrefix="0" xfId="0"/>
    <xf numFmtId="0" fontId="3" fillId="0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4" fillId="4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textRotation="90"/>
    </xf>
    <xf numFmtId="0" fontId="3" fillId="0" borderId="1" applyAlignment="1" pivotButton="0" quotePrefix="0" xfId="0">
      <alignment horizontal="center" vertical="top" wrapText="1"/>
    </xf>
    <xf numFmtId="9" fontId="4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BDD7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D3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APK7 - Event Group + Software Timer over the UART Link</t>
        </is>
      </c>
    </row>
    <row r="2">
      <c r="A2" s="2" t="inlineStr">
        <is>
          <t>Software Requirements Specification (ASPICE SYS.2 / SWE.1 / SWE.6 traceability)</t>
        </is>
      </c>
    </row>
    <row r="4">
      <c r="A4" s="3" t="inlineStr">
        <is>
          <t>Document ID</t>
        </is>
      </c>
      <c r="B4" s="4" t="inlineStr">
        <is>
          <t>APK7-SRS-001</t>
        </is>
      </c>
      <c r="C4" s="5" t="n"/>
    </row>
    <row r="5">
      <c r="A5" s="3" t="inlineStr">
        <is>
          <t>Version</t>
        </is>
      </c>
      <c r="B5" s="4" t="inlineStr">
        <is>
          <t>1.0</t>
        </is>
      </c>
      <c r="C5" s="5" t="n"/>
    </row>
    <row r="6">
      <c r="A6" s="3" t="inlineStr">
        <is>
          <t>Date</t>
        </is>
      </c>
      <c r="B6" s="4" t="inlineStr">
        <is>
          <t>2026-10-11</t>
        </is>
      </c>
      <c r="C6" s="5" t="n"/>
    </row>
    <row r="7">
      <c r="A7" s="3" t="inlineStr">
        <is>
          <t>Author</t>
        </is>
      </c>
      <c r="B7" s="4" t="inlineStr">
        <is>
          <t>M. Hanzouti</t>
        </is>
      </c>
      <c r="C7" s="5" t="n"/>
    </row>
    <row r="8">
      <c r="A8" s="3" t="inlineStr">
        <is>
          <t>Project</t>
        </is>
      </c>
      <c r="B8" s="4" t="inlineStr">
        <is>
          <t>f4_disco_rtos - RTOS training</t>
        </is>
      </c>
      <c r="C8" s="5" t="n"/>
    </row>
    <row r="9">
      <c r="A9" s="3" t="inlineStr">
        <is>
          <t>Target</t>
        </is>
      </c>
      <c r="B9" s="4" t="inlineStr">
        <is>
          <t>STM32F407G-DISC1, FreeRTOS</t>
        </is>
      </c>
      <c r="C9" s="5" t="n"/>
    </row>
    <row r="10">
      <c r="A10" s="3" t="inlineStr">
        <is>
          <t>Tools</t>
        </is>
      </c>
      <c r="B10" s="4" t="inlineStr">
        <is>
          <t>STM32CubeIDE, tools/apk7_gui.py (PyQt5, pyserial)</t>
        </is>
      </c>
      <c r="C10" s="5" t="n"/>
    </row>
    <row r="11">
      <c r="A11" s="3" t="inlineStr">
        <is>
          <t>Type</t>
        </is>
      </c>
      <c r="B11" s="4" t="inlineStr">
        <is>
          <t>Student exercise - solution in apk7.c, template in apk7_student.c</t>
        </is>
      </c>
      <c r="C11" s="5" t="n"/>
    </row>
    <row r="12">
      <c r="A12" s="3" t="inlineStr">
        <is>
          <t>Document status</t>
        </is>
      </c>
      <c r="B12" s="4" t="inlineStr">
        <is>
          <t>Draft</t>
        </is>
      </c>
      <c r="C12" s="5" t="n"/>
    </row>
    <row r="14">
      <c r="A14" s="6" t="inlineStr">
        <is>
          <t>Revision history</t>
        </is>
      </c>
    </row>
    <row r="15">
      <c r="A15" s="7" t="inlineStr">
        <is>
          <t>Version</t>
        </is>
      </c>
      <c r="B15" s="7" t="inlineStr">
        <is>
          <t>Date</t>
        </is>
      </c>
      <c r="C15" s="7" t="inlineStr">
        <is>
          <t>Author</t>
        </is>
      </c>
      <c r="D15" s="7" t="inlineStr">
        <is>
          <t>Change</t>
        </is>
      </c>
    </row>
    <row r="16">
      <c r="A16" s="4" t="inlineStr">
        <is>
          <t>1.0</t>
        </is>
      </c>
      <c r="B16" s="4" t="inlineStr">
        <is>
          <t>2026-10-11</t>
        </is>
      </c>
      <c r="C16" s="4" t="inlineStr">
        <is>
          <t>M. Hanzouti</t>
        </is>
      </c>
      <c r="D16" s="4" t="inlineStr">
        <is>
          <t>Initial version</t>
        </is>
      </c>
    </row>
    <row r="20">
      <c r="A20" s="6" t="inlineStr">
        <is>
          <t>Sheets</t>
        </is>
      </c>
    </row>
    <row r="21">
      <c r="A21" s="8" t="inlineStr">
        <is>
          <t>System Requirements</t>
        </is>
      </c>
      <c r="B21" s="9" t="inlineStr">
        <is>
          <t>SYS.2 - system requirements derived from the training goals.</t>
        </is>
      </c>
    </row>
    <row r="22">
      <c r="A22" s="8" t="inlineStr">
        <is>
          <t>SW Requirements</t>
        </is>
      </c>
      <c r="B22" s="9" t="inlineStr">
        <is>
          <t>SWE.1 - software requirements, attributes, parent link, allocation, verification.</t>
        </is>
      </c>
    </row>
    <row r="23">
      <c r="A23" s="8" t="inlineStr">
        <is>
          <t>Exercise</t>
        </is>
      </c>
      <c r="B23" s="9" t="inlineStr">
        <is>
          <t>Student work: TODO steps, APIs, points, questions.</t>
        </is>
      </c>
    </row>
    <row r="24">
      <c r="A24" s="8" t="inlineStr">
        <is>
          <t>Events &amp; Timers</t>
        </is>
      </c>
      <c r="B24" s="9" t="inlineStr">
        <is>
          <t>Frames, event bits and the software timer.</t>
        </is>
      </c>
    </row>
    <row r="25">
      <c r="A25" s="8" t="inlineStr">
        <is>
          <t>SW Components</t>
        </is>
      </c>
      <c r="B25" s="9" t="inlineStr">
        <is>
          <t>SWE.2 - software architecture elements requirements are allocated to.</t>
        </is>
      </c>
    </row>
    <row r="26">
      <c r="A26" s="8" t="inlineStr">
        <is>
          <t>Test Specification</t>
        </is>
      </c>
      <c r="B26" s="9" t="inlineStr">
        <is>
          <t>SWE.6 - test cases with expected results; Result column to fill in.</t>
        </is>
      </c>
    </row>
    <row r="27">
      <c r="A27" s="8" t="inlineStr">
        <is>
          <t>Traceability</t>
        </is>
      </c>
      <c r="B27" s="9" t="inlineStr">
        <is>
          <t>SW requirement x test case matrix with coverage check.</t>
        </is>
      </c>
    </row>
    <row r="28">
      <c r="A28" s="8" t="inlineStr">
        <is>
          <t>Dashboard</t>
        </is>
      </c>
      <c r="B28" s="9" t="inlineStr">
        <is>
          <t>Live counts: status, type, verification coverage, test results.</t>
        </is>
      </c>
    </row>
    <row r="29">
      <c r="A29" s="6" t="inlineStr">
        <is>
          <t>Legend</t>
        </is>
      </c>
    </row>
    <row r="30">
      <c r="A30" s="10" t="inlineStr">
        <is>
          <t>Yellow cells</t>
        </is>
      </c>
      <c r="B30" s="9" t="inlineStr">
        <is>
          <t>Editable attributes with a drop-down list (Status, Priority, Method, Result).</t>
        </is>
      </c>
    </row>
    <row r="31">
      <c r="A31" s="8" t="inlineStr">
        <is>
          <t>'shall'</t>
        </is>
      </c>
      <c r="B31" s="9" t="inlineStr">
        <is>
          <t>Mandatory requirement wording; one 'shall' per requirement.</t>
        </is>
      </c>
    </row>
    <row r="32">
      <c r="A32" s="8" t="inlineStr">
        <is>
          <t>Status</t>
        </is>
      </c>
      <c r="B32" s="9" t="inlineStr">
        <is>
          <t>Draft &gt; In review &gt; Accepted (or Rejected / Deferred).</t>
        </is>
      </c>
    </row>
    <row r="33">
      <c r="A33" s="8" t="inlineStr">
        <is>
          <t>Verification method</t>
        </is>
      </c>
      <c r="B33" s="9" t="inlineStr">
        <is>
          <t>Test, Analysis, Review, Inspection, Demonstration.</t>
        </is>
      </c>
    </row>
  </sheetData>
  <mergeCells count="9">
    <mergeCell ref="B6:C6"/>
    <mergeCell ref="B7:C7"/>
    <mergeCell ref="B11:C11"/>
    <mergeCell ref="B5:C5"/>
    <mergeCell ref="B10:C10"/>
    <mergeCell ref="B9:C9"/>
    <mergeCell ref="B8:C8"/>
    <mergeCell ref="B4:C4"/>
    <mergeCell ref="B12:C12"/>
  </mergeCells>
  <pageMargins left="0.75" right="0.75" top="1" bottom="1" header="0.5" footer="0.5"/>
  <pageSetup orientation="landscape" fitToHeight="0" fitToWidth="1"/>
  <headerFooter>
    <oddHeader/>
    <oddFooter>&amp;LAPK7-SRS-001 v1.0&amp;RPage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8EA9DB"/>
    <outlinePr summaryBelow="1" summaryRight="1"/>
    <pageSetUpPr fitToPage="1"/>
  </sheetPr>
  <dimension ref="A1:G2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52" customWidth="1" min="3" max="3"/>
    <col width="44" customWidth="1" min="4" max="4"/>
    <col width="24" customWidth="1" min="5" max="5"/>
    <col width="8" customWidth="1" min="6" max="6"/>
    <col width="9" customWidth="1" min="7" max="7"/>
  </cols>
  <sheetData>
    <row r="1">
      <c r="A1" s="11" t="inlineStr">
        <is>
          <t>Student exercise - APK7</t>
        </is>
      </c>
    </row>
    <row r="2">
      <c r="A2" s="12" t="inlineStr">
        <is>
          <t>APK7-SRS-001  |  Version 1.0  |  Start from Core/Src/apk7_student.c, select #define APK7_STUDENT in main.h</t>
        </is>
      </c>
    </row>
    <row r="3">
      <c r="A3" s="13" t="inlineStr">
        <is>
          <t>Goal: when BUTTON 1 and BUTTON 2 are received (any order), start a 5 s timer and report its end. Complete the TODOs, run the tests with apk7_gui.py, answer the questions. No global flags, no vTaskDelay.</t>
        </is>
      </c>
    </row>
    <row r="5" ht="30" customHeight="1">
      <c r="A5" s="14" t="inlineStr">
        <is>
          <t>Step</t>
        </is>
      </c>
      <c r="B5" s="14" t="inlineStr">
        <is>
          <t>TODO</t>
        </is>
      </c>
      <c r="C5" s="14" t="inlineStr">
        <is>
          <t>What to do</t>
        </is>
      </c>
      <c r="D5" s="14" t="inlineStr">
        <is>
          <t>FreeRTOS API</t>
        </is>
      </c>
      <c r="E5" s="14" t="inlineStr">
        <is>
          <t>Requirements</t>
        </is>
      </c>
      <c r="F5" s="14" t="inlineStr">
        <is>
          <t>Points</t>
        </is>
      </c>
      <c r="G5" s="14" t="inlineStr">
        <is>
          <t>Done (x)</t>
        </is>
      </c>
    </row>
    <row r="6">
      <c r="A6" s="15" t="inlineStr">
        <is>
          <t>1</t>
        </is>
      </c>
      <c r="B6" s="15" t="inlineStr">
        <is>
          <t>TODO 1</t>
        </is>
      </c>
      <c r="C6" s="16" t="inlineStr">
        <is>
          <t>Define the 3 event bits</t>
        </is>
      </c>
      <c r="D6" s="16" t="inlineStr">
        <is>
          <t>#define, (1u &lt;&lt; n)</t>
        </is>
      </c>
      <c r="E6" s="16" t="inlineStr">
        <is>
          <t>SW-REQ-004</t>
        </is>
      </c>
      <c r="F6" s="15" t="n">
        <v>1</v>
      </c>
      <c r="G6" s="17" t="inlineStr"/>
    </row>
    <row r="7">
      <c r="A7" s="18" t="inlineStr">
        <is>
          <t>2</t>
        </is>
      </c>
      <c r="B7" s="18" t="inlineStr">
        <is>
          <t>TODO 2</t>
        </is>
      </c>
      <c r="C7" s="19" t="inlineStr">
        <is>
          <t>Create the event group</t>
        </is>
      </c>
      <c r="D7" s="19" t="inlineStr">
        <is>
          <t>xEventGroupCreate</t>
        </is>
      </c>
      <c r="E7" s="19" t="inlineStr">
        <is>
          <t>SW-REQ-003</t>
        </is>
      </c>
      <c r="F7" s="18" t="n">
        <v>1</v>
      </c>
      <c r="G7" s="17" t="inlineStr"/>
    </row>
    <row r="8">
      <c r="A8" s="15" t="inlineStr">
        <is>
          <t>3</t>
        </is>
      </c>
      <c r="B8" s="15" t="inlineStr">
        <is>
          <t>TODO 3</t>
        </is>
      </c>
      <c r="C8" s="16" t="inlineStr">
        <is>
          <t>Create the one-shot 5 s timer</t>
        </is>
      </c>
      <c r="D8" s="16" t="inlineStr">
        <is>
          <t>xTimerCreate (uxAutoReload = pdFALSE)</t>
        </is>
      </c>
      <c r="E8" s="16" t="inlineStr">
        <is>
          <t>SW-REQ-007</t>
        </is>
      </c>
      <c r="F8" s="15" t="n">
        <v>2</v>
      </c>
      <c r="G8" s="17" t="inlineStr"/>
    </row>
    <row r="9">
      <c r="A9" s="18" t="inlineStr">
        <is>
          <t>4</t>
        </is>
      </c>
      <c r="B9" s="18" t="inlineStr">
        <is>
          <t>TODO 4, 5</t>
        </is>
      </c>
      <c r="C9" s="19" t="inlineStr">
        <is>
          <t>Set the button bit when a button frame arrives</t>
        </is>
      </c>
      <c r="D9" s="19" t="inlineStr">
        <is>
          <t>xEventGroupSetBits</t>
        </is>
      </c>
      <c r="E9" s="19" t="inlineStr">
        <is>
          <t>SW-REQ-005</t>
        </is>
      </c>
      <c r="F9" s="18" t="n">
        <v>2</v>
      </c>
      <c r="G9" s="17" t="inlineStr"/>
    </row>
    <row r="10">
      <c r="A10" s="15" t="inlineStr">
        <is>
          <t>5</t>
        </is>
      </c>
      <c r="B10" s="15" t="inlineStr">
        <is>
          <t>TODO 6</t>
        </is>
      </c>
      <c r="C10" s="16" t="inlineStr">
        <is>
          <t>Wait for BUTTON 1 AND BUTTON 2, clear on exit</t>
        </is>
      </c>
      <c r="D10" s="16" t="inlineStr">
        <is>
          <t>xEventGroupWaitBits (pdTRUE, pdTRUE, portMAX_DELAY)</t>
        </is>
      </c>
      <c r="E10" s="16" t="inlineStr">
        <is>
          <t>SW-REQ-008</t>
        </is>
      </c>
      <c r="F10" s="15" t="n">
        <v>3</v>
      </c>
      <c r="G10" s="17" t="inlineStr"/>
    </row>
    <row r="11">
      <c r="A11" s="18" t="inlineStr">
        <is>
          <t>6</t>
        </is>
      </c>
      <c r="B11" s="18" t="inlineStr">
        <is>
          <t>TODO 7</t>
        </is>
      </c>
      <c r="C11" s="19" t="inlineStr">
        <is>
          <t>Start the timer</t>
        </is>
      </c>
      <c r="D11" s="19" t="inlineStr">
        <is>
          <t>xTimerStart</t>
        </is>
      </c>
      <c r="E11" s="19" t="inlineStr">
        <is>
          <t>SW-REQ-009</t>
        </is>
      </c>
      <c r="F11" s="18" t="n">
        <v>1</v>
      </c>
      <c r="G11" s="17" t="inlineStr"/>
    </row>
    <row r="12">
      <c r="A12" s="15" t="inlineStr">
        <is>
          <t>7</t>
        </is>
      </c>
      <c r="B12" s="15" t="inlineStr">
        <is>
          <t>TODO 9</t>
        </is>
      </c>
      <c r="C12" s="16" t="inlineStr">
        <is>
          <t>Timer callback: set the timeout bit</t>
        </is>
      </c>
      <c r="D12" s="16" t="inlineStr">
        <is>
          <t>xEventGroupSetBits</t>
        </is>
      </c>
      <c r="E12" s="16" t="inlineStr">
        <is>
          <t>SW-REQ-010</t>
        </is>
      </c>
      <c r="F12" s="15" t="n">
        <v>2</v>
      </c>
      <c r="G12" s="17" t="inlineStr"/>
    </row>
    <row r="13">
      <c r="A13" s="18" t="inlineStr">
        <is>
          <t>8</t>
        </is>
      </c>
      <c r="B13" s="18" t="inlineStr">
        <is>
          <t>TODO 8</t>
        </is>
      </c>
      <c r="C13" s="19" t="inlineStr">
        <is>
          <t>Wait for the timeout bit</t>
        </is>
      </c>
      <c r="D13" s="19" t="inlineStr">
        <is>
          <t>xEventGroupWaitBits</t>
        </is>
      </c>
      <c r="E13" s="19" t="inlineStr">
        <is>
          <t>SW-REQ-011</t>
        </is>
      </c>
      <c r="F13" s="18" t="n">
        <v>2</v>
      </c>
      <c r="G13" s="17" t="inlineStr"/>
    </row>
    <row r="14">
      <c r="A14" s="15" t="inlineStr">
        <is>
          <t>9</t>
        </is>
      </c>
      <c r="B14" s="15" t="inlineStr">
        <is>
          <t>Tests</t>
        </is>
      </c>
      <c r="C14" s="16" t="inlineStr">
        <is>
          <t>Run TC-01 to TC-06 with tools/apk7_gui.py and fill the Test Specification sheet</t>
        </is>
      </c>
      <c r="D14" s="16" t="inlineStr">
        <is>
          <t>GUI log time stamps</t>
        </is>
      </c>
      <c r="E14" s="16" t="inlineStr">
        <is>
          <t>all</t>
        </is>
      </c>
      <c r="F14" s="15" t="n">
        <v>4</v>
      </c>
      <c r="G14" s="17" t="inlineStr"/>
    </row>
    <row r="15">
      <c r="E15" s="8" t="inlineStr">
        <is>
          <t>Total</t>
        </is>
      </c>
      <c r="F15" s="20">
        <f>SUM(F6:F14)</f>
        <v/>
      </c>
    </row>
    <row r="16">
      <c r="E16" s="8" t="inlineStr">
        <is>
          <t>Done</t>
        </is>
      </c>
      <c r="F16" s="20">
        <f>SUMIF(G6:G14,"x",F6:F14)</f>
        <v/>
      </c>
    </row>
    <row r="18">
      <c r="A18" s="6" t="inlineStr">
        <is>
          <t>Questions</t>
        </is>
      </c>
    </row>
    <row r="19">
      <c r="A19" s="7" t="inlineStr">
        <is>
          <t>#</t>
        </is>
      </c>
      <c r="B19" s="7" t="inlineStr">
        <is>
          <t>Question</t>
        </is>
      </c>
      <c r="C19" s="21" t="n"/>
      <c r="D19" s="5" t="n"/>
      <c r="E19" s="7" t="inlineStr">
        <is>
          <t>Your answer</t>
        </is>
      </c>
      <c r="F19" s="21" t="n"/>
      <c r="G19" s="5" t="n"/>
    </row>
    <row r="20" ht="42" customHeight="1">
      <c r="A20" s="22" t="inlineStr">
        <is>
          <t>Q1</t>
        </is>
      </c>
      <c r="B20" s="16" t="inlineStr">
        <is>
          <t>In TODO 6, what happens if xWaitForAllBits is pdFALSE? Try it and describe the behaviour.</t>
        </is>
      </c>
      <c r="C20" s="23" t="n"/>
      <c r="D20" s="23" t="n"/>
      <c r="E20" s="24" t="n"/>
      <c r="F20" s="23" t="n"/>
      <c r="G20" s="23" t="n"/>
    </row>
    <row r="21" ht="42" customHeight="1">
      <c r="A21" s="22" t="inlineStr">
        <is>
          <t>Q2</t>
        </is>
      </c>
      <c r="B21" s="16" t="inlineStr">
        <is>
          <t>In TODO 6, what happens if xClearOnExit is pdFALSE? Try it and describe the behaviour.</t>
        </is>
      </c>
      <c r="C21" s="23" t="n"/>
      <c r="D21" s="23" t="n"/>
      <c r="E21" s="24" t="n"/>
      <c r="F21" s="23" t="n"/>
      <c r="G21" s="23" t="n"/>
    </row>
    <row r="22" ht="42" customHeight="1">
      <c r="A22" s="22" t="inlineStr">
        <is>
          <t>Q3</t>
        </is>
      </c>
      <c r="B22" s="16" t="inlineStr">
        <is>
          <t>Click BUTTON 2 three times, then BUTTON 1. How many timers start? Why? (bits or counters?)</t>
        </is>
      </c>
      <c r="C22" s="23" t="n"/>
      <c r="D22" s="23" t="n"/>
      <c r="E22" s="24" t="n"/>
      <c r="F22" s="23" t="n"/>
      <c r="G22" s="23" t="n"/>
    </row>
    <row r="23" ht="42" customHeight="1">
      <c r="A23" s="22" t="inlineStr">
        <is>
          <t>Q4</t>
        </is>
      </c>
      <c r="B23" s="16" t="inlineStr">
        <is>
          <t>Why does the timer callback only set a bit instead of sending the UART frame itself?</t>
        </is>
      </c>
      <c r="C23" s="23" t="n"/>
      <c r="D23" s="23" t="n"/>
      <c r="E23" s="24" t="n"/>
      <c r="F23" s="23" t="n"/>
      <c r="G23" s="23" t="n"/>
    </row>
    <row r="24" ht="42" customHeight="1">
      <c r="A24" s="22" t="inlineStr">
        <is>
          <t>Q5</t>
        </is>
      </c>
      <c r="B24" s="16" t="inlineStr">
        <is>
          <t>What would happen if the timer were created with uxAutoReload = pdTRUE?</t>
        </is>
      </c>
      <c r="C24" s="23" t="n"/>
      <c r="D24" s="23" t="n"/>
      <c r="E24" s="24" t="n"/>
      <c r="F24" s="23" t="n"/>
      <c r="G24" s="23" t="n"/>
    </row>
    <row r="25" ht="42" customHeight="1">
      <c r="A25" s="22" t="inlineStr">
        <is>
          <t>Q6</t>
        </is>
      </c>
      <c r="B25" s="16" t="inlineStr">
        <is>
          <t>Buttons clicked while the timer runs: what happens after it expires, and why? How would you ignore them? (hint: xEventGroupClearBits)</t>
        </is>
      </c>
      <c r="C25" s="23" t="n"/>
      <c r="D25" s="23" t="n"/>
      <c r="E25" s="24" t="n"/>
      <c r="F25" s="23" t="n"/>
      <c r="G25" s="23" t="n"/>
    </row>
    <row r="26" ht="42" customHeight="1">
      <c r="A26" s="22" t="inlineStr">
        <is>
          <t>Q7</t>
        </is>
      </c>
      <c r="B26" s="16" t="inlineStr">
        <is>
          <t>Extension: add BUTTON_3 (0x42) = cancel. It stops the timer (xTimerStop) and sends EVT_TIMER_CANCELLED (0x52). Which bit do you add?</t>
        </is>
      </c>
      <c r="C26" s="23" t="n"/>
      <c r="D26" s="23" t="n"/>
      <c r="E26" s="24" t="n"/>
      <c r="F26" s="23" t="n"/>
      <c r="G26" s="23" t="n"/>
    </row>
  </sheetData>
  <autoFilter ref="A5:G14"/>
  <mergeCells count="16">
    <mergeCell ref="E24:G24"/>
    <mergeCell ref="B19:D19"/>
    <mergeCell ref="E22:G22"/>
    <mergeCell ref="E19:G19"/>
    <mergeCell ref="B23:D23"/>
    <mergeCell ref="B22:D22"/>
    <mergeCell ref="E23:G23"/>
    <mergeCell ref="B26:D26"/>
    <mergeCell ref="E26:G26"/>
    <mergeCell ref="B21:D21"/>
    <mergeCell ref="E25:G25"/>
    <mergeCell ref="E21:G21"/>
    <mergeCell ref="B25:D25"/>
    <mergeCell ref="B24:D24"/>
    <mergeCell ref="E20:G20"/>
    <mergeCell ref="B20:D20"/>
  </mergeCells>
  <pageMargins left="0.75" right="0.75" top="1" bottom="1" header="0.5" footer="0.5"/>
  <pageSetup orientation="landscape" fitToHeight="0" fitToWidth="1"/>
  <headerFooter>
    <oddHeader/>
    <oddFooter>&amp;LAPK7-SRS-001 v1.0&amp;RPage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8EA9DB"/>
    <outlinePr summaryBelow="1" summaryRight="1"/>
    <pageSetUpPr fitToPage="1"/>
  </sheetPr>
  <dimension ref="A1:I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60" customWidth="1" min="3" max="3"/>
    <col width="15" customWidth="1" min="4" max="4"/>
    <col width="34" customWidth="1" min="5" max="5"/>
    <col width="10" customWidth="1" min="6" max="6"/>
    <col width="12" customWidth="1" min="7" max="7"/>
    <col width="14" customWidth="1" min="8" max="8"/>
    <col width="12" customWidth="1" min="9" max="9"/>
  </cols>
  <sheetData>
    <row r="1">
      <c r="A1" s="11" t="inlineStr">
        <is>
          <t>System Requirements (SYS.2)</t>
        </is>
      </c>
    </row>
    <row r="2">
      <c r="A2" s="12" t="inlineStr">
        <is>
          <t>APK7-SRS-001  |  Version 1.0  |  Stakeholder: RTOS training</t>
        </is>
      </c>
    </row>
    <row r="4" ht="30" customHeight="1">
      <c r="A4" s="14" t="inlineStr">
        <is>
          <t>ID</t>
        </is>
      </c>
      <c r="B4" s="14" t="inlineStr">
        <is>
          <t>Title</t>
        </is>
      </c>
      <c r="C4" s="14" t="inlineStr">
        <is>
          <t>Requirement</t>
        </is>
      </c>
      <c r="D4" s="14" t="inlineStr">
        <is>
          <t>Type</t>
        </is>
      </c>
      <c r="E4" s="14" t="inlineStr">
        <is>
          <t>Rationale</t>
        </is>
      </c>
      <c r="F4" s="14" t="inlineStr">
        <is>
          <t>Priority</t>
        </is>
      </c>
      <c r="G4" s="14" t="inlineStr">
        <is>
          <t>Status</t>
        </is>
      </c>
      <c r="H4" s="14" t="inlineStr">
        <is>
          <t>Verification method</t>
        </is>
      </c>
      <c r="I4" s="14" t="inlineStr">
        <is>
          <t># SW req linked</t>
        </is>
      </c>
    </row>
    <row r="5">
      <c r="A5" s="15" t="inlineStr">
        <is>
          <t>SYS-REQ-001</t>
        </is>
      </c>
      <c r="B5" s="16" t="inlineStr">
        <is>
          <t>PC buttons</t>
        </is>
      </c>
      <c r="C5" s="16" t="inlineStr">
        <is>
          <t>The PC GUI shall provide two buttons, BUTTON 1 and BUTTON 2; each click sends one frame to the STM32.</t>
        </is>
      </c>
      <c r="D5" s="15" t="inlineStr">
        <is>
          <t>Functional</t>
        </is>
      </c>
      <c r="E5" s="16" t="inlineStr">
        <is>
          <t>User input of the lab.</t>
        </is>
      </c>
      <c r="F5" s="17" t="inlineStr">
        <is>
          <t>High</t>
        </is>
      </c>
      <c r="G5" s="17" t="inlineStr">
        <is>
          <t>Accepted</t>
        </is>
      </c>
      <c r="H5" s="17" t="inlineStr">
        <is>
          <t>Test</t>
        </is>
      </c>
      <c r="I5" s="15">
        <f>COUNTIF('SW Requirements'!$F$5:$F$200,"*"&amp;A5&amp;"*")</f>
        <v/>
      </c>
    </row>
    <row r="6">
      <c r="A6" s="18" t="inlineStr">
        <is>
          <t>SYS-REQ-002</t>
        </is>
      </c>
      <c r="B6" s="19" t="inlineStr">
        <is>
          <t>Combined condition</t>
        </is>
      </c>
      <c r="C6" s="19" t="inlineStr">
        <is>
          <t>When both buttons have been received, in any order, the STM32 shall start a 5 s timer.</t>
        </is>
      </c>
      <c r="D6" s="18" t="inlineStr">
        <is>
          <t>Functional</t>
        </is>
      </c>
      <c r="E6" s="19" t="inlineStr">
        <is>
          <t>Synchronisation of two independent events.</t>
        </is>
      </c>
      <c r="F6" s="17" t="inlineStr">
        <is>
          <t>High</t>
        </is>
      </c>
      <c r="G6" s="17" t="inlineStr">
        <is>
          <t>Accepted</t>
        </is>
      </c>
      <c r="H6" s="17" t="inlineStr">
        <is>
          <t>Test</t>
        </is>
      </c>
      <c r="I6" s="18">
        <f>COUNTIF('SW Requirements'!$F$5:$F$200,"*"&amp;A6&amp;"*")</f>
        <v/>
      </c>
    </row>
    <row r="7">
      <c r="A7" s="15" t="inlineStr">
        <is>
          <t>SYS-REQ-003</t>
        </is>
      </c>
      <c r="B7" s="16" t="inlineStr">
        <is>
          <t>Timer notification</t>
        </is>
      </c>
      <c r="C7" s="16" t="inlineStr">
        <is>
          <t>The STM32 shall inform the PC when the timer starts and when it expires; the GUI shall display the timer state and a countdown.</t>
        </is>
      </c>
      <c r="D7" s="15" t="inlineStr">
        <is>
          <t>Functional</t>
        </is>
      </c>
      <c r="E7" s="16" t="inlineStr">
        <is>
          <t>Visible result of the timer.</t>
        </is>
      </c>
      <c r="F7" s="17" t="inlineStr">
        <is>
          <t>High</t>
        </is>
      </c>
      <c r="G7" s="17" t="inlineStr">
        <is>
          <t>Accepted</t>
        </is>
      </c>
      <c r="H7" s="17" t="inlineStr">
        <is>
          <t>Test</t>
        </is>
      </c>
      <c r="I7" s="15">
        <f>COUNTIF('SW Requirements'!$F$5:$F$200,"*"&amp;A7&amp;"*")</f>
        <v/>
      </c>
    </row>
    <row r="8">
      <c r="A8" s="18" t="inlineStr">
        <is>
          <t>SYS-REQ-004</t>
        </is>
      </c>
      <c r="B8" s="19" t="inlineStr">
        <is>
          <t>Board LEDs</t>
        </is>
      </c>
      <c r="C8" s="19" t="inlineStr">
        <is>
          <t>The board shall show button 1 received (green), button 2 received (orange) and timer running (blue).</t>
        </is>
      </c>
      <c r="D8" s="18" t="inlineStr">
        <is>
          <t>Functional</t>
        </is>
      </c>
      <c r="E8" s="19" t="inlineStr">
        <is>
          <t>Feedback on the board.</t>
        </is>
      </c>
      <c r="F8" s="17" t="inlineStr">
        <is>
          <t>High</t>
        </is>
      </c>
      <c r="G8" s="17" t="inlineStr">
        <is>
          <t>Accepted</t>
        </is>
      </c>
      <c r="H8" s="17" t="inlineStr">
        <is>
          <t>Test</t>
        </is>
      </c>
      <c r="I8" s="18">
        <f>COUNTIF('SW Requirements'!$F$5:$F$200,"*"&amp;A8&amp;"*")</f>
        <v/>
      </c>
    </row>
    <row r="9">
      <c r="A9" s="15" t="inlineStr">
        <is>
          <t>SYS-REQ-005</t>
        </is>
      </c>
      <c r="B9" s="16" t="inlineStr">
        <is>
          <t>Communication</t>
        </is>
      </c>
      <c r="C9" s="16" t="inlineStr">
        <is>
          <t>PC and STM32 shall use the APK5 link layer: 3-byte frames SOF 0xAA - CMD - DATA, UART 115200 8N1.</t>
        </is>
      </c>
      <c r="D9" s="15" t="inlineStr">
        <is>
          <t>Interface</t>
        </is>
      </c>
      <c r="E9" s="16" t="inlineStr">
        <is>
          <t>Reuse of APK5.</t>
        </is>
      </c>
      <c r="F9" s="17" t="inlineStr">
        <is>
          <t>High</t>
        </is>
      </c>
      <c r="G9" s="17" t="inlineStr">
        <is>
          <t>Accepted</t>
        </is>
      </c>
      <c r="H9" s="17" t="inlineStr">
        <is>
          <t>Test</t>
        </is>
      </c>
      <c r="I9" s="15">
        <f>COUNTIF('SW Requirements'!$F$5:$F$200,"*"&amp;A9&amp;"*")</f>
        <v/>
      </c>
    </row>
    <row r="10">
      <c r="A10" s="18" t="inlineStr">
        <is>
          <t>SYS-REQ-006</t>
        </is>
      </c>
      <c r="B10" s="19" t="inlineStr">
        <is>
          <t>Training constraint</t>
        </is>
      </c>
      <c r="C10" s="19" t="inlineStr">
        <is>
          <t>The STM32 design shall use one FreeRTOS event group and one software timer; no global flags, no polling, no vTaskDelay for the 5 s.</t>
        </is>
      </c>
      <c r="D10" s="18" t="inlineStr">
        <is>
          <t>Constraint</t>
        </is>
      </c>
      <c r="E10" s="19" t="inlineStr">
        <is>
          <t>Objective of the exercise.</t>
        </is>
      </c>
      <c r="F10" s="17" t="inlineStr">
        <is>
          <t>High</t>
        </is>
      </c>
      <c r="G10" s="17" t="inlineStr">
        <is>
          <t>Accepted</t>
        </is>
      </c>
      <c r="H10" s="17" t="inlineStr">
        <is>
          <t>Test</t>
        </is>
      </c>
      <c r="I10" s="18">
        <f>COUNTIF('SW Requirements'!$F$5:$F$200,"*"&amp;A10&amp;"*")</f>
        <v/>
      </c>
    </row>
  </sheetData>
  <autoFilter ref="A4:I10"/>
  <conditionalFormatting sqref="I5:I10">
    <cfRule type="cellIs" priority="1" operator="equal" dxfId="0">
      <formula>0</formula>
    </cfRule>
  </conditionalFormatting>
  <dataValidations count="3">
    <dataValidation sqref="F5:F10" showDropDown="0" showInputMessage="0" showErrorMessage="0" allowBlank="1" errorTitle="Invalid value" error="Pick a value from the list" type="list">
      <formula1>"High,Medium,Low"</formula1>
    </dataValidation>
    <dataValidation sqref="G5:G10" showDropDown="0" showInputMessage="0" showErrorMessage="0" allowBlank="1" errorTitle="Invalid value" error="Pick a value from the list" type="list">
      <formula1>"Draft,In review,Accepted,Rejected,Deferred"</formula1>
    </dataValidation>
    <dataValidation sqref="H5:H10" showDropDown="0" showInputMessage="0" showErrorMessage="0" allowBlank="1" errorTitle="Invalid value" error="Pick a value from the list" type="list">
      <formula1>"Test,Analysis,Review,Inspection,Demonstration"</formula1>
    </dataValidation>
  </dataValidations>
  <pageMargins left="0.75" right="0.75" top="1" bottom="1" header="0.5" footer="0.5"/>
  <pageSetup orientation="landscape" fitToHeight="0" fitToWidth="1"/>
  <headerFooter>
    <oddHeader/>
    <oddFooter>&amp;LAPK7-SRS-001 v1.0&amp;RPage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8EA9DB"/>
    <outlinePr summaryBelow="1" summaryRight="1"/>
    <pageSetUpPr fitToPage="1"/>
  </sheetPr>
  <dimension ref="A1:O2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58" customWidth="1" min="3" max="3"/>
    <col width="14" customWidth="1" min="4" max="4"/>
    <col width="16" customWidth="1" min="5" max="5"/>
    <col width="18" customWidth="1" min="6" max="6"/>
    <col width="30" customWidth="1" min="7" max="7"/>
    <col width="9" customWidth="1" min="8" max="8"/>
    <col width="11" customWidth="1" min="9" max="9"/>
    <col width="13" customWidth="1" min="10" max="10"/>
    <col width="36" customWidth="1" min="11" max="11"/>
    <col width="16" customWidth="1" min="12" max="12"/>
    <col width="8" customWidth="1" min="13" max="13"/>
    <col width="10" customWidth="1" min="14" max="14"/>
    <col width="20" customWidth="1" min="15" max="15"/>
  </cols>
  <sheetData>
    <row r="1">
      <c r="A1" s="11" t="inlineStr">
        <is>
          <t>Software Requirements (SWE.1)</t>
        </is>
      </c>
    </row>
    <row r="2">
      <c r="A2" s="12" t="inlineStr">
        <is>
          <t>APK7-SRS-001  |  Version 1.0  |  Parent: System Requirements  |  Allocation: SW Components</t>
        </is>
      </c>
    </row>
    <row r="4" ht="30" customHeight="1">
      <c r="A4" s="14" t="inlineStr">
        <is>
          <t>ID</t>
        </is>
      </c>
      <c r="B4" s="14" t="inlineStr">
        <is>
          <t>Title</t>
        </is>
      </c>
      <c r="C4" s="14" t="inlineStr">
        <is>
          <t>Requirement</t>
        </is>
      </c>
      <c r="D4" s="14" t="inlineStr">
        <is>
          <t>Type</t>
        </is>
      </c>
      <c r="E4" s="14" t="inlineStr">
        <is>
          <t>SW component (SWE.2)</t>
        </is>
      </c>
      <c r="F4" s="14" t="inlineStr">
        <is>
          <t>Parent SYS req</t>
        </is>
      </c>
      <c r="G4" s="14" t="inlineStr">
        <is>
          <t>Rationale</t>
        </is>
      </c>
      <c r="H4" s="14" t="inlineStr">
        <is>
          <t>Priority</t>
        </is>
      </c>
      <c r="I4" s="14" t="inlineStr">
        <is>
          <t>Status</t>
        </is>
      </c>
      <c r="J4" s="14" t="inlineStr">
        <is>
          <t>Verification method</t>
        </is>
      </c>
      <c r="K4" s="14" t="inlineStr">
        <is>
          <t>Acceptance criteria</t>
        </is>
      </c>
      <c r="L4" s="14" t="inlineStr">
        <is>
          <t>Test case(s) (SWE.6)</t>
        </is>
      </c>
      <c r="M4" s="14" t="inlineStr">
        <is>
          <t>Release</t>
        </is>
      </c>
      <c r="N4" s="14" t="inlineStr">
        <is>
          <t>Parent valid</t>
        </is>
      </c>
      <c r="O4" s="14" t="inlineStr">
        <is>
          <t>Comment</t>
        </is>
      </c>
    </row>
    <row r="5">
      <c r="A5" s="15" t="inlineStr">
        <is>
          <t>SW-REQ-001</t>
        </is>
      </c>
      <c r="B5" s="16" t="inlineStr">
        <is>
          <t>Link layer</t>
        </is>
      </c>
      <c r="C5" s="16" t="inlineStr">
        <is>
          <t>The firmware shall reuse the APK5 link layer: RX interrupt state machine, QueueFrame, LinkLayer task, SendFrame under xUartMutex.</t>
        </is>
      </c>
      <c r="D5" s="15" t="inlineStr">
        <is>
          <t>Functional</t>
        </is>
      </c>
      <c r="E5" s="16" t="inlineStr">
        <is>
          <t>SWC-ISR, SWC-QUEUE, SWC-LL, SWC-TX</t>
        </is>
      </c>
      <c r="F5" s="16" t="inlineStr">
        <is>
          <t>SYS-REQ-005</t>
        </is>
      </c>
      <c r="G5" s="16" t="inlineStr">
        <is>
          <t>Already validated in APK5.</t>
        </is>
      </c>
      <c r="H5" s="17" t="inlineStr">
        <is>
          <t>High</t>
        </is>
      </c>
      <c r="I5" s="17" t="inlineStr">
        <is>
          <t>Accepted</t>
        </is>
      </c>
      <c r="J5" s="17" t="inlineStr">
        <is>
          <t>Test</t>
        </is>
      </c>
      <c r="K5" s="16" t="inlineStr">
        <is>
          <t>PING answered.</t>
        </is>
      </c>
      <c r="L5" s="16" t="inlineStr">
        <is>
          <t>TC-01</t>
        </is>
      </c>
      <c r="M5" s="15" t="inlineStr">
        <is>
          <t>R1.0</t>
        </is>
      </c>
      <c r="N5" s="15">
        <f>IF(ISNUMBER(MATCH(LEFT(F5,11),'System Requirements'!$A$5:$A$10,0)),"OK","MISSING")</f>
        <v/>
      </c>
      <c r="O5" s="16" t="inlineStr"/>
    </row>
    <row r="6">
      <c r="A6" s="18" t="inlineStr">
        <is>
          <t>SW-REQ-002</t>
        </is>
      </c>
      <c r="B6" s="19" t="inlineStr">
        <is>
          <t>Button commands</t>
        </is>
      </c>
      <c r="C6" s="19" t="inlineStr">
        <is>
          <t>BUTTON_1 (0x40) and BUTTON_2 (0x41) shall be answered with CMD|0x80 and status 0x00; any other command except PING shall be answered 0xE1.</t>
        </is>
      </c>
      <c r="D6" s="18" t="inlineStr">
        <is>
          <t>Interface</t>
        </is>
      </c>
      <c r="E6" s="19" t="inlineStr">
        <is>
          <t>SWC-LL</t>
        </is>
      </c>
      <c r="F6" s="19" t="inlineStr">
        <is>
          <t>SYS-REQ-001, SYS-REQ-005</t>
        </is>
      </c>
      <c r="G6" s="19" t="inlineStr">
        <is>
          <t>Each click is acknowledged.</t>
        </is>
      </c>
      <c r="H6" s="17" t="inlineStr">
        <is>
          <t>High</t>
        </is>
      </c>
      <c r="I6" s="17" t="inlineStr">
        <is>
          <t>Accepted</t>
        </is>
      </c>
      <c r="J6" s="17" t="inlineStr">
        <is>
          <t>Test</t>
        </is>
      </c>
      <c r="K6" s="19" t="inlineStr">
        <is>
          <t>AA 40 00 -&gt; AA C0 00; AA 41 00 -&gt; AA C1 00; AA 42 00 -&gt; AA C2 E1.</t>
        </is>
      </c>
      <c r="L6" s="19" t="inlineStr">
        <is>
          <t>TC-02, TC-06</t>
        </is>
      </c>
      <c r="M6" s="18" t="inlineStr">
        <is>
          <t>R1.0</t>
        </is>
      </c>
      <c r="N6" s="18">
        <f>IF(ISNUMBER(MATCH(LEFT(F6,11),'System Requirements'!$A$5:$A$10,0)),"OK","MISSING")</f>
        <v/>
      </c>
      <c r="O6" s="19" t="inlineStr"/>
    </row>
    <row r="7">
      <c r="A7" s="15" t="inlineStr">
        <is>
          <t>SW-REQ-003</t>
        </is>
      </c>
      <c r="B7" s="16" t="inlineStr">
        <is>
          <t>Event group</t>
        </is>
      </c>
      <c r="C7" s="16" t="inlineStr">
        <is>
          <t>One event group EgButtons shall be created before the scheduler starts.</t>
        </is>
      </c>
      <c r="D7" s="15" t="inlineStr">
        <is>
          <t>Functional</t>
        </is>
      </c>
      <c r="E7" s="16" t="inlineStr">
        <is>
          <t>SWC-EG</t>
        </is>
      </c>
      <c r="F7" s="16" t="inlineStr">
        <is>
          <t>SYS-REQ-006</t>
        </is>
      </c>
      <c r="G7" s="16" t="inlineStr">
        <is>
          <t>Single synchronisation object.</t>
        </is>
      </c>
      <c r="H7" s="17" t="inlineStr">
        <is>
          <t>High</t>
        </is>
      </c>
      <c r="I7" s="17" t="inlineStr">
        <is>
          <t>Accepted</t>
        </is>
      </c>
      <c r="J7" s="17" t="inlineStr">
        <is>
          <t>Review</t>
        </is>
      </c>
      <c r="K7" s="16" t="inlineStr">
        <is>
          <t>xEventGroupCreate once in run_apk().</t>
        </is>
      </c>
      <c r="L7" s="16" t="inlineStr">
        <is>
          <t>TC-07</t>
        </is>
      </c>
      <c r="M7" s="15" t="inlineStr">
        <is>
          <t>R1.0</t>
        </is>
      </c>
      <c r="N7" s="15">
        <f>IF(ISNUMBER(MATCH(LEFT(F7,11),'System Requirements'!$A$5:$A$10,0)),"OK","MISSING")</f>
        <v/>
      </c>
      <c r="O7" s="16" t="inlineStr"/>
    </row>
    <row r="8">
      <c r="A8" s="18" t="inlineStr">
        <is>
          <t>SW-REQ-004</t>
        </is>
      </c>
      <c r="B8" s="19" t="inlineStr">
        <is>
          <t>Event bits</t>
        </is>
      </c>
      <c r="C8" s="19" t="inlineStr">
        <is>
          <t>EgButtons shall use bit 0 EV_BUTTON_1, bit 1 EV_BUTTON_2, bit 2 EV_TIMEOUT.</t>
        </is>
      </c>
      <c r="D8" s="18" t="inlineStr">
        <is>
          <t>Interface</t>
        </is>
      </c>
      <c r="E8" s="19" t="inlineStr">
        <is>
          <t>SWC-EG</t>
        </is>
      </c>
      <c r="F8" s="19" t="inlineStr">
        <is>
          <t>SYS-REQ-006</t>
        </is>
      </c>
      <c r="G8" s="19" t="inlineStr">
        <is>
          <t>Shared definition.</t>
        </is>
      </c>
      <c r="H8" s="17" t="inlineStr">
        <is>
          <t>High</t>
        </is>
      </c>
      <c r="I8" s="17" t="inlineStr">
        <is>
          <t>Accepted</t>
        </is>
      </c>
      <c r="J8" s="17" t="inlineStr">
        <is>
          <t>Review</t>
        </is>
      </c>
      <c r="K8" s="19" t="inlineStr">
        <is>
          <t>Defines match the Events &amp; Timer sheet.</t>
        </is>
      </c>
      <c r="L8" s="19" t="inlineStr">
        <is>
          <t>TC-07</t>
        </is>
      </c>
      <c r="M8" s="18" t="inlineStr">
        <is>
          <t>R1.0</t>
        </is>
      </c>
      <c r="N8" s="18">
        <f>IF(ISNUMBER(MATCH(LEFT(F8,11),'System Requirements'!$A$5:$A$10,0)),"OK","MISSING")</f>
        <v/>
      </c>
      <c r="O8" s="19" t="inlineStr"/>
    </row>
    <row r="9">
      <c r="A9" s="15" t="inlineStr">
        <is>
          <t>SW-REQ-005</t>
        </is>
      </c>
      <c r="B9" s="16" t="inlineStr">
        <is>
          <t>Set button bits</t>
        </is>
      </c>
      <c r="C9" s="16" t="inlineStr">
        <is>
          <t>On BUTTON_1 the LinkLayer task shall set EV_BUTTON_1 and switch on PD12; on BUTTON_2 it shall set EV_BUTTON_2 and switch on PD13.</t>
        </is>
      </c>
      <c r="D9" s="15" t="inlineStr">
        <is>
          <t>Functional</t>
        </is>
      </c>
      <c r="E9" s="16" t="inlineStr">
        <is>
          <t>SWC-LL</t>
        </is>
      </c>
      <c r="F9" s="16" t="inlineStr">
        <is>
          <t>SYS-REQ-002, SYS-REQ-004</t>
        </is>
      </c>
      <c r="G9" s="16" t="inlineStr">
        <is>
          <t>Producer side of the event group.</t>
        </is>
      </c>
      <c r="H9" s="17" t="inlineStr">
        <is>
          <t>High</t>
        </is>
      </c>
      <c r="I9" s="17" t="inlineStr">
        <is>
          <t>Accepted</t>
        </is>
      </c>
      <c r="J9" s="17" t="inlineStr">
        <is>
          <t>Test</t>
        </is>
      </c>
      <c r="K9" s="16" t="inlineStr">
        <is>
          <t>LED on after each button.</t>
        </is>
      </c>
      <c r="L9" s="16" t="inlineStr">
        <is>
          <t>TC-02</t>
        </is>
      </c>
      <c r="M9" s="15" t="inlineStr">
        <is>
          <t>R1.0</t>
        </is>
      </c>
      <c r="N9" s="15">
        <f>IF(ISNUMBER(MATCH(LEFT(F9,11),'System Requirements'!$A$5:$A$10,0)),"OK","MISSING")</f>
        <v/>
      </c>
      <c r="O9" s="16" t="inlineStr"/>
    </row>
    <row r="10">
      <c r="A10" s="18" t="inlineStr">
        <is>
          <t>SW-REQ-006</t>
        </is>
      </c>
      <c r="B10" s="19" t="inlineStr">
        <is>
          <t>Repeated button</t>
        </is>
      </c>
      <c r="C10" s="19" t="inlineStr">
        <is>
          <t>Receiving the same button several times before the other one shall have no extra effect (the bit is already set).</t>
        </is>
      </c>
      <c r="D10" s="18" t="inlineStr">
        <is>
          <t>Functional</t>
        </is>
      </c>
      <c r="E10" s="19" t="inlineStr">
        <is>
          <t>SWC-EG</t>
        </is>
      </c>
      <c r="F10" s="19" t="inlineStr">
        <is>
          <t>SYS-REQ-002</t>
        </is>
      </c>
      <c r="G10" s="19" t="inlineStr">
        <is>
          <t>Event bits are flags, not counters.</t>
        </is>
      </c>
      <c r="H10" s="17" t="inlineStr">
        <is>
          <t>Medium</t>
        </is>
      </c>
      <c r="I10" s="17" t="inlineStr">
        <is>
          <t>Accepted</t>
        </is>
      </c>
      <c r="J10" s="17" t="inlineStr">
        <is>
          <t>Test</t>
        </is>
      </c>
      <c r="K10" s="19" t="inlineStr">
        <is>
          <t>B2, B2, B1 -&gt; exactly one timer start.</t>
        </is>
      </c>
      <c r="L10" s="19" t="inlineStr">
        <is>
          <t>TC-04</t>
        </is>
      </c>
      <c r="M10" s="18" t="inlineStr">
        <is>
          <t>R1.0</t>
        </is>
      </c>
      <c r="N10" s="18">
        <f>IF(ISNUMBER(MATCH(LEFT(F10,11),'System Requirements'!$A$5:$A$10,0)),"OK","MISSING")</f>
        <v/>
      </c>
      <c r="O10" s="19" t="inlineStr"/>
    </row>
    <row r="11">
      <c r="A11" s="15" t="inlineStr">
        <is>
          <t>SW-REQ-007</t>
        </is>
      </c>
      <c r="B11" s="16" t="inlineStr">
        <is>
          <t>Timer creation</t>
        </is>
      </c>
      <c r="C11" s="16" t="inlineStr">
        <is>
          <t>A one-shot software timer tApp of 5 s shall be created with the callback AppTimerCallback.</t>
        </is>
      </c>
      <c r="D11" s="15" t="inlineStr">
        <is>
          <t>Functional</t>
        </is>
      </c>
      <c r="E11" s="16" t="inlineStr">
        <is>
          <t>SWC-TMR</t>
        </is>
      </c>
      <c r="F11" s="16" t="inlineStr">
        <is>
          <t>SYS-REQ-002, SYS-REQ-006</t>
        </is>
      </c>
      <c r="G11" s="16" t="inlineStr">
        <is>
          <t>Time measured by the RTOS, not by a delay.</t>
        </is>
      </c>
      <c r="H11" s="17" t="inlineStr">
        <is>
          <t>High</t>
        </is>
      </c>
      <c r="I11" s="17" t="inlineStr">
        <is>
          <t>Accepted</t>
        </is>
      </c>
      <c r="J11" s="17" t="inlineStr">
        <is>
          <t>Test</t>
        </is>
      </c>
      <c r="K11" s="16" t="inlineStr">
        <is>
          <t>Timer runs once per start.</t>
        </is>
      </c>
      <c r="L11" s="16" t="inlineStr">
        <is>
          <t>TC-03</t>
        </is>
      </c>
      <c r="M11" s="15" t="inlineStr">
        <is>
          <t>R1.0</t>
        </is>
      </c>
      <c r="N11" s="15">
        <f>IF(ISNUMBER(MATCH(LEFT(F11,11),'System Requirements'!$A$5:$A$10,0)),"OK","MISSING")</f>
        <v/>
      </c>
      <c r="O11" s="16" t="inlineStr"/>
    </row>
    <row r="12">
      <c r="A12" s="18" t="inlineStr">
        <is>
          <t>SW-REQ-008</t>
        </is>
      </c>
      <c r="B12" s="19" t="inlineStr">
        <is>
          <t>Wait for both buttons</t>
        </is>
      </c>
      <c r="C12" s="19" t="inlineStr">
        <is>
          <t>The AppTask shall block on EgButtons until EV_BUTTON_1 AND EV_BUTTON_2 are set (xWaitForAllBits = pdTRUE), clear both on exit, without timeout.</t>
        </is>
      </c>
      <c r="D12" s="18" t="inlineStr">
        <is>
          <t>Functional</t>
        </is>
      </c>
      <c r="E12" s="19" t="inlineStr">
        <is>
          <t>SWC-APP</t>
        </is>
      </c>
      <c r="F12" s="19" t="inlineStr">
        <is>
          <t>SYS-REQ-002</t>
        </is>
      </c>
      <c r="G12" s="19" t="inlineStr">
        <is>
          <t>AND synchronisation, order independent.</t>
        </is>
      </c>
      <c r="H12" s="17" t="inlineStr">
        <is>
          <t>High</t>
        </is>
      </c>
      <c r="I12" s="17" t="inlineStr">
        <is>
          <t>Accepted</t>
        </is>
      </c>
      <c r="J12" s="17" t="inlineStr">
        <is>
          <t>Test</t>
        </is>
      </c>
      <c r="K12" s="19" t="inlineStr">
        <is>
          <t>Timer starts only after both buttons, in any order.</t>
        </is>
      </c>
      <c r="L12" s="19" t="inlineStr">
        <is>
          <t>TC-02, TC-04</t>
        </is>
      </c>
      <c r="M12" s="18" t="inlineStr">
        <is>
          <t>R1.0</t>
        </is>
      </c>
      <c r="N12" s="18">
        <f>IF(ISNUMBER(MATCH(LEFT(F12,11),'System Requirements'!$A$5:$A$10,0)),"OK","MISSING")</f>
        <v/>
      </c>
      <c r="O12" s="19" t="inlineStr"/>
    </row>
    <row r="13">
      <c r="A13" s="15" t="inlineStr">
        <is>
          <t>SW-REQ-009</t>
        </is>
      </c>
      <c r="B13" s="16" t="inlineStr">
        <is>
          <t>Start the timer</t>
        </is>
      </c>
      <c r="C13" s="16" t="inlineStr">
        <is>
          <t>When both bits are received, the AppTask shall switch off PD12 and PD13, switch on PD15, start tApp and send EVT_TIMER_STARTED (0x50, DATA = 5).</t>
        </is>
      </c>
      <c r="D13" s="15" t="inlineStr">
        <is>
          <t>Functional</t>
        </is>
      </c>
      <c r="E13" s="16" t="inlineStr">
        <is>
          <t>SWC-APP</t>
        </is>
      </c>
      <c r="F13" s="16" t="inlineStr">
        <is>
          <t>SYS-REQ-002, SYS-REQ-003, SYS-REQ-004</t>
        </is>
      </c>
      <c r="G13" s="16" t="inlineStr">
        <is>
          <t>Visible start of the timer.</t>
        </is>
      </c>
      <c r="H13" s="17" t="inlineStr">
        <is>
          <t>High</t>
        </is>
      </c>
      <c r="I13" s="17" t="inlineStr">
        <is>
          <t>Accepted</t>
        </is>
      </c>
      <c r="J13" s="17" t="inlineStr">
        <is>
          <t>Test</t>
        </is>
      </c>
      <c r="K13" s="16" t="inlineStr">
        <is>
          <t>AA 50 05 received, blue LED on.</t>
        </is>
      </c>
      <c r="L13" s="16" t="inlineStr">
        <is>
          <t>TC-02, TC-03</t>
        </is>
      </c>
      <c r="M13" s="15" t="inlineStr">
        <is>
          <t>R1.0</t>
        </is>
      </c>
      <c r="N13" s="15">
        <f>IF(ISNUMBER(MATCH(LEFT(F13,11),'System Requirements'!$A$5:$A$10,0)),"OK","MISSING")</f>
        <v/>
      </c>
      <c r="O13" s="16" t="inlineStr"/>
    </row>
    <row r="14">
      <c r="A14" s="18" t="inlineStr">
        <is>
          <t>SW-REQ-010</t>
        </is>
      </c>
      <c r="B14" s="19" t="inlineStr">
        <is>
          <t>Timer callback</t>
        </is>
      </c>
      <c r="C14" s="19" t="inlineStr">
        <is>
          <t>AppTimerCallback shall only set EV_TIMEOUT and shall never block.</t>
        </is>
      </c>
      <c r="D14" s="18" t="inlineStr">
        <is>
          <t>Functional</t>
        </is>
      </c>
      <c r="E14" s="19" t="inlineStr">
        <is>
          <t>SWC-TMR</t>
        </is>
      </c>
      <c r="F14" s="19" t="inlineStr">
        <is>
          <t>SYS-REQ-006</t>
        </is>
      </c>
      <c r="G14" s="19" t="inlineStr">
        <is>
          <t>Callbacks run in the timer service task.</t>
        </is>
      </c>
      <c r="H14" s="17" t="inlineStr">
        <is>
          <t>High</t>
        </is>
      </c>
      <c r="I14" s="17" t="inlineStr">
        <is>
          <t>Accepted</t>
        </is>
      </c>
      <c r="J14" s="17" t="inlineStr">
        <is>
          <t>Review</t>
        </is>
      </c>
      <c r="K14" s="19" t="inlineStr">
        <is>
          <t>One call: xEventGroupSetBits.</t>
        </is>
      </c>
      <c r="L14" s="19" t="inlineStr">
        <is>
          <t>TC-03, TC-07</t>
        </is>
      </c>
      <c r="M14" s="18" t="inlineStr">
        <is>
          <t>R1.0</t>
        </is>
      </c>
      <c r="N14" s="18">
        <f>IF(ISNUMBER(MATCH(LEFT(F14,11),'System Requirements'!$A$5:$A$10,0)),"OK","MISSING")</f>
        <v/>
      </c>
      <c r="O14" s="19" t="inlineStr"/>
    </row>
    <row r="15">
      <c r="A15" s="15" t="inlineStr">
        <is>
          <t>SW-REQ-011</t>
        </is>
      </c>
      <c r="B15" s="16" t="inlineStr">
        <is>
          <t>Timer expiry</t>
        </is>
      </c>
      <c r="C15" s="16" t="inlineStr">
        <is>
          <t>The AppTask shall wait for EV_TIMEOUT (cleared on exit), then switch off PD15 and send EVT_TIMER_EXPIRED (0x51, DATA = 0).</t>
        </is>
      </c>
      <c r="D15" s="15" t="inlineStr">
        <is>
          <t>Functional</t>
        </is>
      </c>
      <c r="E15" s="16" t="inlineStr">
        <is>
          <t>SWC-APP</t>
        </is>
      </c>
      <c r="F15" s="16" t="inlineStr">
        <is>
          <t>SYS-REQ-003, SYS-REQ-004</t>
        </is>
      </c>
      <c r="G15" s="16" t="inlineStr">
        <is>
          <t>Visible end of the timer.</t>
        </is>
      </c>
      <c r="H15" s="17" t="inlineStr">
        <is>
          <t>High</t>
        </is>
      </c>
      <c r="I15" s="17" t="inlineStr">
        <is>
          <t>Accepted</t>
        </is>
      </c>
      <c r="J15" s="17" t="inlineStr">
        <is>
          <t>Test</t>
        </is>
      </c>
      <c r="K15" s="16" t="inlineStr">
        <is>
          <t>AA 51 00 received 5 s after AA 50 05.</t>
        </is>
      </c>
      <c r="L15" s="16" t="inlineStr">
        <is>
          <t>TC-03</t>
        </is>
      </c>
      <c r="M15" s="15" t="inlineStr">
        <is>
          <t>R1.0</t>
        </is>
      </c>
      <c r="N15" s="15">
        <f>IF(ISNUMBER(MATCH(LEFT(F15,11),'System Requirements'!$A$5:$A$10,0)),"OK","MISSING")</f>
        <v/>
      </c>
      <c r="O15" s="16" t="inlineStr"/>
    </row>
    <row r="16">
      <c r="A16" s="18" t="inlineStr">
        <is>
          <t>SW-REQ-012</t>
        </is>
      </c>
      <c r="B16" s="19" t="inlineStr">
        <is>
          <t>Buttons during the timer</t>
        </is>
      </c>
      <c r="C16" s="19" t="inlineStr">
        <is>
          <t>Buttons received while the timer runs shall set their bits; if both are set when the timer expires, the next timer shall start immediately.</t>
        </is>
      </c>
      <c r="D16" s="18" t="inlineStr">
        <is>
          <t>Functional</t>
        </is>
      </c>
      <c r="E16" s="19" t="inlineStr">
        <is>
          <t>SWC-EG, SWC-APP</t>
        </is>
      </c>
      <c r="F16" s="19" t="inlineStr">
        <is>
          <t>SYS-REQ-002</t>
        </is>
      </c>
      <c r="G16" s="19" t="inlineStr">
        <is>
          <t>Documented behaviour of latched bits.</t>
        </is>
      </c>
      <c r="H16" s="17" t="inlineStr">
        <is>
          <t>Low</t>
        </is>
      </c>
      <c r="I16" s="17" t="inlineStr">
        <is>
          <t>Accepted</t>
        </is>
      </c>
      <c r="J16" s="17" t="inlineStr">
        <is>
          <t>Test</t>
        </is>
      </c>
      <c r="K16" s="19" t="inlineStr">
        <is>
          <t>B1 + B2 during the timer -&gt; new start right after expiry.</t>
        </is>
      </c>
      <c r="L16" s="19" t="inlineStr">
        <is>
          <t>TC-05</t>
        </is>
      </c>
      <c r="M16" s="18" t="inlineStr">
        <is>
          <t>R1.0</t>
        </is>
      </c>
      <c r="N16" s="18">
        <f>IF(ISNUMBER(MATCH(LEFT(F16,11),'System Requirements'!$A$5:$A$10,0)),"OK","MISSING")</f>
        <v/>
      </c>
      <c r="O16" s="19" t="inlineStr"/>
    </row>
    <row r="17">
      <c r="A17" s="15" t="inlineStr">
        <is>
          <t>SW-REQ-013</t>
        </is>
      </c>
      <c r="B17" s="16" t="inlineStr">
        <is>
          <t>Timer accuracy</t>
        </is>
      </c>
      <c r="C17" s="16" t="inlineStr">
        <is>
          <t>EVT_TIMER_EXPIRED shall be sent 5000 ms +/- 20 ms after EVT_TIMER_STARTED.</t>
        </is>
      </c>
      <c r="D17" s="15" t="inlineStr">
        <is>
          <t>Performance</t>
        </is>
      </c>
      <c r="E17" s="16" t="inlineStr">
        <is>
          <t>SWC-TMR</t>
        </is>
      </c>
      <c r="F17" s="16" t="inlineStr">
        <is>
          <t>SYS-REQ-002</t>
        </is>
      </c>
      <c r="G17" s="16" t="inlineStr">
        <is>
          <t>1 ms tick.</t>
        </is>
      </c>
      <c r="H17" s="17" t="inlineStr">
        <is>
          <t>Medium</t>
        </is>
      </c>
      <c r="I17" s="17" t="inlineStr">
        <is>
          <t>Accepted</t>
        </is>
      </c>
      <c r="J17" s="17" t="inlineStr">
        <is>
          <t>Test</t>
        </is>
      </c>
      <c r="K17" s="16" t="inlineStr">
        <is>
          <t>Measured on the PC: 5 s +/- 50 ms (USB latency included).</t>
        </is>
      </c>
      <c r="L17" s="16" t="inlineStr">
        <is>
          <t>TC-03</t>
        </is>
      </c>
      <c r="M17" s="15" t="inlineStr">
        <is>
          <t>R1.0</t>
        </is>
      </c>
      <c r="N17" s="15">
        <f>IF(ISNUMBER(MATCH(LEFT(F17,11),'System Requirements'!$A$5:$A$10,0)),"OK","MISSING")</f>
        <v/>
      </c>
      <c r="O17" s="16" t="inlineStr"/>
    </row>
    <row r="18">
      <c r="A18" s="18" t="inlineStr">
        <is>
          <t>SW-REQ-014</t>
        </is>
      </c>
      <c r="B18" s="19" t="inlineStr">
        <is>
          <t>Priorities</t>
        </is>
      </c>
      <c r="C18" s="19" t="inlineStr">
        <is>
          <t>LinkLayer priority 3, AppTask priority 2, timer service task priority 2 (configTIMER_TASK_PRIORITY); stacks 256 words.</t>
        </is>
      </c>
      <c r="D18" s="18" t="inlineStr">
        <is>
          <t>Constraint</t>
        </is>
      </c>
      <c r="E18" s="19" t="inlineStr">
        <is>
          <t>SWC-LL, SWC-APP, SWC-TMR</t>
        </is>
      </c>
      <c r="F18" s="19" t="inlineStr">
        <is>
          <t>SYS-REQ-006</t>
        </is>
      </c>
      <c r="G18" s="19" t="inlineStr">
        <is>
          <t>Frames are handled first.</t>
        </is>
      </c>
      <c r="H18" s="17" t="inlineStr">
        <is>
          <t>Low</t>
        </is>
      </c>
      <c r="I18" s="17" t="inlineStr">
        <is>
          <t>Accepted</t>
        </is>
      </c>
      <c r="J18" s="17" t="inlineStr">
        <is>
          <t>Inspection</t>
        </is>
      </c>
      <c r="K18" s="19" t="inlineStr">
        <is>
          <t>xTaskCreate parameters and FreeRTOSConfig.h.</t>
        </is>
      </c>
      <c r="L18" s="19" t="inlineStr">
        <is>
          <t>TC-07</t>
        </is>
      </c>
      <c r="M18" s="18" t="inlineStr">
        <is>
          <t>R1.0</t>
        </is>
      </c>
      <c r="N18" s="18">
        <f>IF(ISNUMBER(MATCH(LEFT(F18,11),'System Requirements'!$A$5:$A$10,0)),"OK","MISSING")</f>
        <v/>
      </c>
      <c r="O18" s="19" t="inlineStr"/>
    </row>
    <row r="19">
      <c r="A19" s="15" t="inlineStr">
        <is>
          <t>SW-REQ-015</t>
        </is>
      </c>
      <c r="B19" s="16" t="inlineStr">
        <is>
          <t>Shared UART</t>
        </is>
      </c>
      <c r="C19" s="16" t="inlineStr">
        <is>
          <t>Responses, events and printf output shall be sent under xUartMutex.</t>
        </is>
      </c>
      <c r="D19" s="15" t="inlineStr">
        <is>
          <t>Non-functional</t>
        </is>
      </c>
      <c r="E19" s="16" t="inlineStr">
        <is>
          <t>SWC-TX</t>
        </is>
      </c>
      <c r="F19" s="16" t="inlineStr">
        <is>
          <t>SYS-REQ-005</t>
        </is>
      </c>
      <c r="G19" s="16" t="inlineStr">
        <is>
          <t>Two tasks transmit.</t>
        </is>
      </c>
      <c r="H19" s="17" t="inlineStr">
        <is>
          <t>Medium</t>
        </is>
      </c>
      <c r="I19" s="17" t="inlineStr">
        <is>
          <t>Accepted</t>
        </is>
      </c>
      <c r="J19" s="17" t="inlineStr">
        <is>
          <t>Test</t>
        </is>
      </c>
      <c r="K19" s="16" t="inlineStr">
        <is>
          <t>No corrupted frame while the board logs.</t>
        </is>
      </c>
      <c r="L19" s="16" t="inlineStr">
        <is>
          <t>TC-06</t>
        </is>
      </c>
      <c r="M19" s="15" t="inlineStr">
        <is>
          <t>R1.0</t>
        </is>
      </c>
      <c r="N19" s="15">
        <f>IF(ISNUMBER(MATCH(LEFT(F19,11),'System Requirements'!$A$5:$A$10,0)),"OK","MISSING")</f>
        <v/>
      </c>
      <c r="O19" s="16" t="inlineStr"/>
    </row>
    <row r="20">
      <c r="A20" s="18" t="inlineStr">
        <is>
          <t>SW-REQ-016</t>
        </is>
      </c>
      <c r="B20" s="19" t="inlineStr">
        <is>
          <t>GUI buttons</t>
        </is>
      </c>
      <c r="C20" s="19" t="inlineStr">
        <is>
          <t>The GUI shall provide BUTTON 1, BUTTON 2 and PING, enabled only when connected.</t>
        </is>
      </c>
      <c r="D20" s="18" t="inlineStr">
        <is>
          <t>Functional</t>
        </is>
      </c>
      <c r="E20" s="19" t="inlineStr">
        <is>
          <t>SWC-GUI</t>
        </is>
      </c>
      <c r="F20" s="19" t="inlineStr">
        <is>
          <t>SYS-REQ-001</t>
        </is>
      </c>
      <c r="G20" s="19" t="inlineStr">
        <is>
          <t>User input.</t>
        </is>
      </c>
      <c r="H20" s="17" t="inlineStr">
        <is>
          <t>High</t>
        </is>
      </c>
      <c r="I20" s="17" t="inlineStr">
        <is>
          <t>Accepted</t>
        </is>
      </c>
      <c r="J20" s="17" t="inlineStr">
        <is>
          <t>Test</t>
        </is>
      </c>
      <c r="K20" s="19" t="inlineStr">
        <is>
          <t>Each click sends its frame.</t>
        </is>
      </c>
      <c r="L20" s="19" t="inlineStr">
        <is>
          <t>TC-02</t>
        </is>
      </c>
      <c r="M20" s="18" t="inlineStr">
        <is>
          <t>R1.0</t>
        </is>
      </c>
      <c r="N20" s="18">
        <f>IF(ISNUMBER(MATCH(LEFT(F20,11),'System Requirements'!$A$5:$A$10,0)),"OK","MISSING")</f>
        <v/>
      </c>
      <c r="O20" s="19" t="inlineStr"/>
    </row>
    <row r="21">
      <c r="A21" s="15" t="inlineStr">
        <is>
          <t>SW-REQ-017</t>
        </is>
      </c>
      <c r="B21" s="16" t="inlineStr">
        <is>
          <t>GUI display</t>
        </is>
      </c>
      <c r="C21" s="16" t="inlineStr">
        <is>
          <t>The GUI shall show lamps EV_BUTTON_1, EV_BUTTON_2 and TIMER, a countdown bar, a status text and a log of all frames.</t>
        </is>
      </c>
      <c r="D21" s="15" t="inlineStr">
        <is>
          <t>Functional</t>
        </is>
      </c>
      <c r="E21" s="16" t="inlineStr">
        <is>
          <t>SWC-GUI</t>
        </is>
      </c>
      <c r="F21" s="16" t="inlineStr">
        <is>
          <t>SYS-REQ-003</t>
        </is>
      </c>
      <c r="G21" s="16" t="inlineStr">
        <is>
          <t>Mirror of the STM32 event group.</t>
        </is>
      </c>
      <c r="H21" s="17" t="inlineStr">
        <is>
          <t>Medium</t>
        </is>
      </c>
      <c r="I21" s="17" t="inlineStr">
        <is>
          <t>Accepted</t>
        </is>
      </c>
      <c r="J21" s="17" t="inlineStr">
        <is>
          <t>Test</t>
        </is>
      </c>
      <c r="K21" s="16" t="inlineStr">
        <is>
          <t>Lamps and countdown follow the frames.</t>
        </is>
      </c>
      <c r="L21" s="16" t="inlineStr">
        <is>
          <t>TC-02, TC-03</t>
        </is>
      </c>
      <c r="M21" s="15" t="inlineStr">
        <is>
          <t>R1.0</t>
        </is>
      </c>
      <c r="N21" s="15">
        <f>IF(ISNUMBER(MATCH(LEFT(F21,11),'System Requirements'!$A$5:$A$10,0)),"OK","MISSING")</f>
        <v/>
      </c>
      <c r="O21" s="16" t="inlineStr"/>
    </row>
    <row r="22">
      <c r="A22" s="18" t="inlineStr">
        <is>
          <t>SW-REQ-018</t>
        </is>
      </c>
      <c r="B22" s="19" t="inlineStr">
        <is>
          <t>Simulator</t>
        </is>
      </c>
      <c r="C22" s="19" t="inlineStr">
        <is>
          <t>The GUI shall offer a 'Simulator (no board)' port that behaves like apk7.c.</t>
        </is>
      </c>
      <c r="D22" s="18" t="inlineStr">
        <is>
          <t>Functional</t>
        </is>
      </c>
      <c r="E22" s="19" t="inlineStr">
        <is>
          <t>SWC-SIM</t>
        </is>
      </c>
      <c r="F22" s="19" t="inlineStr">
        <is>
          <t>SYS-REQ-001</t>
        </is>
      </c>
      <c r="G22" s="19" t="inlineStr">
        <is>
          <t>Work without hardware.</t>
        </is>
      </c>
      <c r="H22" s="17" t="inlineStr">
        <is>
          <t>Low</t>
        </is>
      </c>
      <c r="I22" s="17" t="inlineStr">
        <is>
          <t>Accepted</t>
        </is>
      </c>
      <c r="J22" s="17" t="inlineStr">
        <is>
          <t>Test</t>
        </is>
      </c>
      <c r="K22" s="19" t="inlineStr">
        <is>
          <t>TC-02 to TC-05 pass on the simulator.</t>
        </is>
      </c>
      <c r="L22" s="19" t="inlineStr">
        <is>
          <t>TC-08</t>
        </is>
      </c>
      <c r="M22" s="18" t="inlineStr">
        <is>
          <t>R1.0</t>
        </is>
      </c>
      <c r="N22" s="18">
        <f>IF(ISNUMBER(MATCH(LEFT(F22,11),'System Requirements'!$A$5:$A$10,0)),"OK","MISSING")</f>
        <v/>
      </c>
      <c r="O22" s="19" t="inlineStr"/>
    </row>
    <row r="23">
      <c r="A23" s="15" t="inlineStr">
        <is>
          <t>SW-REQ-019</t>
        </is>
      </c>
      <c r="B23" s="16" t="inlineStr">
        <is>
          <t>Build selection</t>
        </is>
      </c>
      <c r="C23" s="16" t="inlineStr">
        <is>
          <t>The solution (APK7) and the student template (APK7_STUDENT) shall be selected in main.h; only one may be defined.</t>
        </is>
      </c>
      <c r="D23" s="15" t="inlineStr">
        <is>
          <t>Constraint</t>
        </is>
      </c>
      <c r="E23" s="16" t="inlineStr">
        <is>
          <t>SWC-CFG</t>
        </is>
      </c>
      <c r="F23" s="16" t="inlineStr">
        <is>
          <t>SYS-REQ-006</t>
        </is>
      </c>
      <c r="G23" s="16" t="inlineStr">
        <is>
          <t>Both files in one project.</t>
        </is>
      </c>
      <c r="H23" s="17" t="inlineStr">
        <is>
          <t>Low</t>
        </is>
      </c>
      <c r="I23" s="17" t="inlineStr">
        <is>
          <t>Accepted</t>
        </is>
      </c>
      <c r="J23" s="17" t="inlineStr">
        <is>
          <t>Inspection</t>
        </is>
      </c>
      <c r="K23" s="16" t="inlineStr">
        <is>
          <t>#ifdef guards.</t>
        </is>
      </c>
      <c r="L23" s="16" t="inlineStr">
        <is>
          <t>TC-07</t>
        </is>
      </c>
      <c r="M23" s="15" t="inlineStr">
        <is>
          <t>R1.0</t>
        </is>
      </c>
      <c r="N23" s="15">
        <f>IF(ISNUMBER(MATCH(LEFT(F23,11),'System Requirements'!$A$5:$A$10,0)),"OK","MISSING")</f>
        <v/>
      </c>
      <c r="O23" s="16" t="inlineStr"/>
    </row>
  </sheetData>
  <autoFilter ref="A4:O23"/>
  <conditionalFormatting sqref="N5:N23">
    <cfRule type="cellIs" priority="1" operator="equal" dxfId="0">
      <formula>"MISSING"</formula>
    </cfRule>
  </conditionalFormatting>
  <dataValidations count="4">
    <dataValidation sqref="H5:H23" showDropDown="0" showInputMessage="0" showErrorMessage="0" allowBlank="1" errorTitle="Invalid value" error="Pick a value from the list" type="list">
      <formula1>"High,Medium,Low"</formula1>
    </dataValidation>
    <dataValidation sqref="I5:I23" showDropDown="0" showInputMessage="0" showErrorMessage="0" allowBlank="1" errorTitle="Invalid value" error="Pick a value from the list" type="list">
      <formula1>"Draft,In review,Accepted,Rejected,Deferred"</formula1>
    </dataValidation>
    <dataValidation sqref="J5:J23" showDropDown="0" showInputMessage="0" showErrorMessage="0" allowBlank="1" errorTitle="Invalid value" error="Pick a value from the list" type="list">
      <formula1>"Test,Analysis,Review,Inspection,Demonstration"</formula1>
    </dataValidation>
    <dataValidation sqref="D5:D23" showDropDown="0" showInputMessage="0" showErrorMessage="0" allowBlank="1" type="list">
      <formula1>"Functional,Non-functional,Interface,Performance,Constraint"</formula1>
    </dataValidation>
  </dataValidations>
  <pageMargins left="0.75" right="0.75" top="1" bottom="1" header="0.5" footer="0.5"/>
  <pageSetup orientation="landscape" fitToHeight="0" fitToWidth="1"/>
  <headerFooter>
    <oddHeader/>
    <oddFooter>&amp;LAPK7-SRS-001 v1.0&amp;RPage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8EA9DB"/>
    <outlinePr summaryBelow="1" summaryRight="1"/>
    <pageSetUpPr fitToPage="1"/>
  </sheetPr>
  <dimension ref="A1:F2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34" customWidth="1" min="3" max="3"/>
    <col width="36" customWidth="1" min="4" max="4"/>
    <col width="26" customWidth="1" min="5" max="5"/>
    <col width="18" customWidth="1" min="6" max="6"/>
    <col width="22" customWidth="1" min="7" max="7"/>
  </cols>
  <sheetData>
    <row r="1">
      <c r="A1" s="11" t="inlineStr">
        <is>
          <t>Frames, event bits and timer</t>
        </is>
      </c>
    </row>
    <row r="2">
      <c r="A2" s="12" t="inlineStr">
        <is>
          <t>APK7-SRS-001  |  Version 1.0  |  Design reference for LinkLayer and AppTask</t>
        </is>
      </c>
    </row>
    <row r="4">
      <c r="A4" s="6" t="inlineStr">
        <is>
          <t>Frames</t>
        </is>
      </c>
    </row>
    <row r="5">
      <c r="A5" s="14" t="inlineStr">
        <is>
          <t>CMD</t>
        </is>
      </c>
      <c r="B5" s="14" t="inlineStr">
        <is>
          <t>Name</t>
        </is>
      </c>
      <c r="C5" s="14" t="inlineStr">
        <is>
          <t>Direction</t>
        </is>
      </c>
      <c r="D5" s="14" t="inlineStr">
        <is>
          <t>DATA</t>
        </is>
      </c>
      <c r="E5" s="14" t="inlineStr">
        <is>
          <t>Answer / meaning</t>
        </is>
      </c>
      <c r="F5" s="14" t="inlineStr">
        <is>
          <t>Requirement</t>
        </is>
      </c>
    </row>
    <row r="6">
      <c r="A6" s="16" t="inlineStr">
        <is>
          <t>0x01</t>
        </is>
      </c>
      <c r="B6" s="16" t="inlineStr">
        <is>
          <t>PING</t>
        </is>
      </c>
      <c r="C6" s="16" t="inlineStr">
        <is>
          <t>PC -&gt; STM32</t>
        </is>
      </c>
      <c r="D6" s="16" t="inlineStr">
        <is>
          <t>any</t>
        </is>
      </c>
      <c r="E6" s="16" t="inlineStr">
        <is>
          <t>AA 81 &lt;data&gt;</t>
        </is>
      </c>
      <c r="F6" s="16" t="inlineStr">
        <is>
          <t>SW-REQ-001</t>
        </is>
      </c>
    </row>
    <row r="7">
      <c r="A7" s="16" t="inlineStr">
        <is>
          <t>0x40</t>
        </is>
      </c>
      <c r="B7" s="16" t="inlineStr">
        <is>
          <t>BUTTON_1</t>
        </is>
      </c>
      <c r="C7" s="16" t="inlineStr">
        <is>
          <t>PC -&gt; STM32</t>
        </is>
      </c>
      <c r="D7" s="16" t="inlineStr">
        <is>
          <t>0</t>
        </is>
      </c>
      <c r="E7" s="16" t="inlineStr">
        <is>
          <t>AA C0 00, sets EV_BUTTON_1</t>
        </is>
      </c>
      <c r="F7" s="16" t="inlineStr">
        <is>
          <t>SW-REQ-002, 005</t>
        </is>
      </c>
    </row>
    <row r="8">
      <c r="A8" s="16" t="inlineStr">
        <is>
          <t>0x41</t>
        </is>
      </c>
      <c r="B8" s="16" t="inlineStr">
        <is>
          <t>BUTTON_2</t>
        </is>
      </c>
      <c r="C8" s="16" t="inlineStr">
        <is>
          <t>PC -&gt; STM32</t>
        </is>
      </c>
      <c r="D8" s="16" t="inlineStr">
        <is>
          <t>0</t>
        </is>
      </c>
      <c r="E8" s="16" t="inlineStr">
        <is>
          <t>AA C1 00, sets EV_BUTTON_2</t>
        </is>
      </c>
      <c r="F8" s="16" t="inlineStr">
        <is>
          <t>SW-REQ-002, 005</t>
        </is>
      </c>
    </row>
    <row r="9">
      <c r="A9" s="16" t="inlineStr">
        <is>
          <t>0x50</t>
        </is>
      </c>
      <c r="B9" s="16" t="inlineStr">
        <is>
          <t>EVT_TIMER_STARTED</t>
        </is>
      </c>
      <c r="C9" s="16" t="inlineStr">
        <is>
          <t>STM32 -&gt; PC</t>
        </is>
      </c>
      <c r="D9" s="16" t="inlineStr">
        <is>
          <t>5 (seconds)</t>
        </is>
      </c>
      <c r="E9" s="16" t="inlineStr">
        <is>
          <t>both buttons received, timer started</t>
        </is>
      </c>
      <c r="F9" s="16" t="inlineStr">
        <is>
          <t>SW-REQ-009</t>
        </is>
      </c>
    </row>
    <row r="10">
      <c r="A10" s="16" t="inlineStr">
        <is>
          <t>0x51</t>
        </is>
      </c>
      <c r="B10" s="16" t="inlineStr">
        <is>
          <t>EVT_TIMER_EXPIRED</t>
        </is>
      </c>
      <c r="C10" s="16" t="inlineStr">
        <is>
          <t>STM32 -&gt; PC</t>
        </is>
      </c>
      <c r="D10" s="16" t="inlineStr">
        <is>
          <t>0</t>
        </is>
      </c>
      <c r="E10" s="16" t="inlineStr">
        <is>
          <t>timer expired</t>
        </is>
      </c>
      <c r="F10" s="16" t="inlineStr">
        <is>
          <t>SW-REQ-011</t>
        </is>
      </c>
    </row>
    <row r="13">
      <c r="A13" s="6" t="inlineStr">
        <is>
          <t>Event bits (EgButtons)</t>
        </is>
      </c>
    </row>
    <row r="14">
      <c r="A14" s="14" t="inlineStr">
        <is>
          <t>Bit</t>
        </is>
      </c>
      <c r="B14" s="14" t="inlineStr">
        <is>
          <t>Name</t>
        </is>
      </c>
      <c r="C14" s="14" t="inlineStr">
        <is>
          <t>Set by</t>
        </is>
      </c>
      <c r="D14" s="14" t="inlineStr">
        <is>
          <t>Waited by</t>
        </is>
      </c>
      <c r="E14" s="14" t="inlineStr">
        <is>
          <t>Cleared by</t>
        </is>
      </c>
      <c r="F14" s="14" t="inlineStr">
        <is>
          <t>Requirement</t>
        </is>
      </c>
    </row>
    <row r="15">
      <c r="A15" s="16" t="inlineStr">
        <is>
          <t>0</t>
        </is>
      </c>
      <c r="B15" s="16" t="inlineStr">
        <is>
          <t>EV_BUTTON_1</t>
        </is>
      </c>
      <c r="C15" s="16" t="inlineStr">
        <is>
          <t>LinkLayer task (BUTTON_1 frame)</t>
        </is>
      </c>
      <c r="D15" s="16" t="inlineStr">
        <is>
          <t>AppTask (AND with bit 1)</t>
        </is>
      </c>
      <c r="E15" s="16" t="inlineStr">
        <is>
          <t>AppTask wait exit</t>
        </is>
      </c>
      <c r="F15" s="16" t="inlineStr">
        <is>
          <t>SW-REQ-005, 008</t>
        </is>
      </c>
    </row>
    <row r="16">
      <c r="A16" s="16" t="inlineStr">
        <is>
          <t>1</t>
        </is>
      </c>
      <c r="B16" s="16" t="inlineStr">
        <is>
          <t>EV_BUTTON_2</t>
        </is>
      </c>
      <c r="C16" s="16" t="inlineStr">
        <is>
          <t>LinkLayer task (BUTTON_2 frame)</t>
        </is>
      </c>
      <c r="D16" s="16" t="inlineStr">
        <is>
          <t>AppTask (AND with bit 0)</t>
        </is>
      </c>
      <c r="E16" s="16" t="inlineStr">
        <is>
          <t>AppTask wait exit</t>
        </is>
      </c>
      <c r="F16" s="16" t="inlineStr">
        <is>
          <t>SW-REQ-005, 008</t>
        </is>
      </c>
    </row>
    <row r="17">
      <c r="A17" s="16" t="inlineStr">
        <is>
          <t>2</t>
        </is>
      </c>
      <c r="B17" s="16" t="inlineStr">
        <is>
          <t>EV_TIMEOUT</t>
        </is>
      </c>
      <c r="C17" s="16" t="inlineStr">
        <is>
          <t>AppTimerCallback</t>
        </is>
      </c>
      <c r="D17" s="16" t="inlineStr">
        <is>
          <t>AppTask</t>
        </is>
      </c>
      <c r="E17" s="16" t="inlineStr">
        <is>
          <t>AppTask wait exit</t>
        </is>
      </c>
      <c r="F17" s="16" t="inlineStr">
        <is>
          <t>SW-REQ-010, 011</t>
        </is>
      </c>
    </row>
    <row r="20">
      <c r="A20" s="6" t="inlineStr">
        <is>
          <t>Software timer</t>
        </is>
      </c>
    </row>
    <row r="21">
      <c r="A21" s="14" t="inlineStr">
        <is>
          <t>Timer</t>
        </is>
      </c>
      <c r="B21" s="14" t="inlineStr">
        <is>
          <t>Type</t>
        </is>
      </c>
      <c r="C21" s="14" t="inlineStr">
        <is>
          <t>Period</t>
        </is>
      </c>
      <c r="D21" s="14" t="inlineStr">
        <is>
          <t>Started by</t>
        </is>
      </c>
      <c r="E21" s="14" t="inlineStr">
        <is>
          <t>Callback</t>
        </is>
      </c>
      <c r="F21" s="14" t="inlineStr">
        <is>
          <t>Requirement</t>
        </is>
      </c>
    </row>
    <row r="22">
      <c r="A22" s="16" t="inlineStr">
        <is>
          <t>tApp</t>
        </is>
      </c>
      <c r="B22" s="16" t="inlineStr">
        <is>
          <t>One-shot</t>
        </is>
      </c>
      <c r="C22" s="16" t="inlineStr">
        <is>
          <t>5 s</t>
        </is>
      </c>
      <c r="D22" s="16" t="inlineStr">
        <is>
          <t>AppTask after both buttons</t>
        </is>
      </c>
      <c r="E22" s="16" t="inlineStr">
        <is>
          <t>set EV_TIMEOUT</t>
        </is>
      </c>
      <c r="F22" s="16" t="inlineStr">
        <is>
          <t>SW-REQ-007, 009, 010</t>
        </is>
      </c>
    </row>
  </sheetData>
  <pageMargins left="0.75" right="0.75" top="1" bottom="1" header="0.5" footer="0.5"/>
  <pageSetup orientation="landscape" fitToHeight="0" fitToWidth="1"/>
  <headerFooter>
    <oddHeader/>
    <oddFooter>&amp;LAPK7-SRS-001 v1.0&amp;RPage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8EA9DB"/>
    <outlinePr summaryBelow="1" summaryRight="1"/>
    <pageSetUpPr fitToPage="1"/>
  </sheetPr>
  <dimension ref="A1:G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34" customWidth="1" min="3" max="3"/>
    <col width="20" customWidth="1" min="4" max="4"/>
    <col width="18" customWidth="1" min="5" max="5"/>
    <col width="48" customWidth="1" min="6" max="6"/>
    <col width="14" customWidth="1" min="7" max="7"/>
  </cols>
  <sheetData>
    <row r="1">
      <c r="A1" s="11" t="inlineStr">
        <is>
          <t>Software Components (SWE.2)</t>
        </is>
      </c>
    </row>
    <row r="2">
      <c r="A2" s="12" t="inlineStr">
        <is>
          <t>APK7-SRS-001  |  Version 1.0  |  Elements of the software architecture</t>
        </is>
      </c>
    </row>
    <row r="4" ht="30" customHeight="1">
      <c r="A4" s="14" t="inlineStr">
        <is>
          <t>Component ID</t>
        </is>
      </c>
      <c r="B4" s="14" t="inlineStr">
        <is>
          <t>Name</t>
        </is>
      </c>
      <c r="C4" s="14" t="inlineStr">
        <is>
          <t>Implementation</t>
        </is>
      </c>
      <c r="D4" s="14" t="inlineStr">
        <is>
          <t>File</t>
        </is>
      </c>
      <c r="E4" s="14" t="inlineStr">
        <is>
          <t>Execution context</t>
        </is>
      </c>
      <c r="F4" s="14" t="inlineStr">
        <is>
          <t>Responsibility</t>
        </is>
      </c>
      <c r="G4" s="14" t="inlineStr">
        <is>
          <t># SW req allocated</t>
        </is>
      </c>
    </row>
    <row r="5">
      <c r="A5" s="15" t="inlineStr">
        <is>
          <t>SWC-ISR</t>
        </is>
      </c>
      <c r="B5" s="16" t="inlineStr">
        <is>
          <t>UART RX callback</t>
        </is>
      </c>
      <c r="C5" s="16" t="inlineStr">
        <is>
          <t>HAL_UART_RxCpltCallback, HAL_UART_ErrorCallback</t>
        </is>
      </c>
      <c r="D5" s="16" t="inlineStr">
        <is>
          <t>Core/Src/apk7.c</t>
        </is>
      </c>
      <c r="E5" s="15" t="inlineStr">
        <is>
          <t>Interrupt</t>
        </is>
      </c>
      <c r="F5" s="16" t="inlineStr">
        <is>
          <t>APK5 frame state machine.</t>
        </is>
      </c>
      <c r="G5" s="15">
        <f>COUNTIF('SW Requirements'!$E$5:$E$200,"*"&amp;A5&amp;"*")</f>
        <v/>
      </c>
    </row>
    <row r="6">
      <c r="A6" s="18" t="inlineStr">
        <is>
          <t>SWC-QUEUE</t>
        </is>
      </c>
      <c r="B6" s="19" t="inlineStr">
        <is>
          <t>QueueFrame</t>
        </is>
      </c>
      <c r="C6" s="19" t="inlineStr">
        <is>
          <t>FreeRTOS queue, 8 x Frame_t</t>
        </is>
      </c>
      <c r="D6" s="19" t="inlineStr">
        <is>
          <t>Core/Src/apk7.c</t>
        </is>
      </c>
      <c r="E6" s="18" t="inlineStr">
        <is>
          <t>Kernel object</t>
        </is>
      </c>
      <c r="F6" s="19" t="inlineStr">
        <is>
          <t>Frames from ISR to LinkLayer.</t>
        </is>
      </c>
      <c r="G6" s="18">
        <f>COUNTIF('SW Requirements'!$E$5:$E$200,"*"&amp;A6&amp;"*")</f>
        <v/>
      </c>
    </row>
    <row r="7">
      <c r="A7" s="15" t="inlineStr">
        <is>
          <t>SWC-LL</t>
        </is>
      </c>
      <c r="B7" s="16" t="inlineStr">
        <is>
          <t>LinkLayer task</t>
        </is>
      </c>
      <c r="C7" s="16" t="inlineStr">
        <is>
          <t>LinkLayer(), prio 3</t>
        </is>
      </c>
      <c r="D7" s="16" t="inlineStr">
        <is>
          <t>Core/Src/apk7.c</t>
        </is>
      </c>
      <c r="E7" s="15" t="inlineStr">
        <is>
          <t>Task</t>
        </is>
      </c>
      <c r="F7" s="16" t="inlineStr">
        <is>
          <t>Decodes frames, sets the button bits, answers.</t>
        </is>
      </c>
      <c r="G7" s="15">
        <f>COUNTIF('SW Requirements'!$E$5:$E$200,"*"&amp;A7&amp;"*")</f>
        <v/>
      </c>
    </row>
    <row r="8">
      <c r="A8" s="18" t="inlineStr">
        <is>
          <t>SWC-EG</t>
        </is>
      </c>
      <c r="B8" s="19" t="inlineStr">
        <is>
          <t>EgButtons</t>
        </is>
      </c>
      <c r="C8" s="19" t="inlineStr">
        <is>
          <t>EventGroupHandle_t, 3 bits</t>
        </is>
      </c>
      <c r="D8" s="19" t="inlineStr">
        <is>
          <t>Core/Src/apk7.c</t>
        </is>
      </c>
      <c r="E8" s="18" t="inlineStr">
        <is>
          <t>Kernel object</t>
        </is>
      </c>
      <c r="F8" s="19" t="inlineStr">
        <is>
          <t>EV_BUTTON_1, EV_BUTTON_2, EV_TIMEOUT.</t>
        </is>
      </c>
      <c r="G8" s="18">
        <f>COUNTIF('SW Requirements'!$E$5:$E$200,"*"&amp;A8&amp;"*")</f>
        <v/>
      </c>
    </row>
    <row r="9">
      <c r="A9" s="15" t="inlineStr">
        <is>
          <t>SWC-APP</t>
        </is>
      </c>
      <c r="B9" s="16" t="inlineStr">
        <is>
          <t>AppTask</t>
        </is>
      </c>
      <c r="C9" s="16" t="inlineStr">
        <is>
          <t>AppTask(), prio 2</t>
        </is>
      </c>
      <c r="D9" s="16" t="inlineStr">
        <is>
          <t>Core/Src/apk7.c</t>
        </is>
      </c>
      <c r="E9" s="15" t="inlineStr">
        <is>
          <t>Task</t>
        </is>
      </c>
      <c r="F9" s="16" t="inlineStr">
        <is>
          <t>Waits for both buttons, starts the timer, waits for the timeout.</t>
        </is>
      </c>
      <c r="G9" s="15">
        <f>COUNTIF('SW Requirements'!$E$5:$E$200,"*"&amp;A9&amp;"*")</f>
        <v/>
      </c>
    </row>
    <row r="10">
      <c r="A10" s="18" t="inlineStr">
        <is>
          <t>SWC-TMR</t>
        </is>
      </c>
      <c r="B10" s="19" t="inlineStr">
        <is>
          <t>Software timer</t>
        </is>
      </c>
      <c r="C10" s="19" t="inlineStr">
        <is>
          <t>tApp (one-shot 5 s), AppTimerCallback</t>
        </is>
      </c>
      <c r="D10" s="19" t="inlineStr">
        <is>
          <t>Core/Src/apk7.c</t>
        </is>
      </c>
      <c r="E10" s="18" t="inlineStr">
        <is>
          <t>Timer service task (prio 2)</t>
        </is>
      </c>
      <c r="F10" s="19" t="inlineStr">
        <is>
          <t>Sets EV_TIMEOUT.</t>
        </is>
      </c>
      <c r="G10" s="18">
        <f>COUNTIF('SW Requirements'!$E$5:$E$200,"*"&amp;A10&amp;"*")</f>
        <v/>
      </c>
    </row>
    <row r="11">
      <c r="A11" s="15" t="inlineStr">
        <is>
          <t>SWC-TX</t>
        </is>
      </c>
      <c r="B11" s="16" t="inlineStr">
        <is>
          <t>Frame transmitter</t>
        </is>
      </c>
      <c r="C11" s="16" t="inlineStr">
        <is>
          <t>SendFrame()</t>
        </is>
      </c>
      <c r="D11" s="16" t="inlineStr">
        <is>
          <t>Core/Src/apk7.c</t>
        </is>
      </c>
      <c r="E11" s="15" t="inlineStr">
        <is>
          <t>Task context</t>
        </is>
      </c>
      <c r="F11" s="16" t="inlineStr">
        <is>
          <t>3-byte frames under xUartMutex.</t>
        </is>
      </c>
      <c r="G11" s="15">
        <f>COUNTIF('SW Requirements'!$E$5:$E$200,"*"&amp;A11&amp;"*")</f>
        <v/>
      </c>
    </row>
    <row r="12">
      <c r="A12" s="18" t="inlineStr">
        <is>
          <t>SWC-CFG</t>
        </is>
      </c>
      <c r="B12" s="19" t="inlineStr">
        <is>
          <t>Configuration</t>
        </is>
      </c>
      <c r="C12" s="19" t="inlineStr">
        <is>
          <t>main.h, FreeRTOSConfig.h, log.c</t>
        </is>
      </c>
      <c r="D12" s="19" t="inlineStr">
        <is>
          <t>Core/</t>
        </is>
      </c>
      <c r="E12" s="18" t="inlineStr">
        <is>
          <t>Static</t>
        </is>
      </c>
      <c r="F12" s="19" t="inlineStr">
        <is>
          <t>Lab selection, timer task, printf mutex.</t>
        </is>
      </c>
      <c r="G12" s="18">
        <f>COUNTIF('SW Requirements'!$E$5:$E$200,"*"&amp;A12&amp;"*")</f>
        <v/>
      </c>
    </row>
    <row r="13">
      <c r="A13" s="15" t="inlineStr">
        <is>
          <t>SWC-GUI</t>
        </is>
      </c>
      <c r="B13" s="16" t="inlineStr">
        <is>
          <t>Host GUI</t>
        </is>
      </c>
      <c r="C13" s="16" t="inlineStr">
        <is>
          <t>MainWindow, SerialReader</t>
        </is>
      </c>
      <c r="D13" s="16" t="inlineStr">
        <is>
          <t>tools/apk7_gui.py</t>
        </is>
      </c>
      <c r="E13" s="15" t="inlineStr">
        <is>
          <t>PyQt5</t>
        </is>
      </c>
      <c r="F13" s="16" t="inlineStr">
        <is>
          <t>Buttons, lamps, countdown, log.</t>
        </is>
      </c>
      <c r="G13" s="15">
        <f>COUNTIF('SW Requirements'!$E$5:$E$200,"*"&amp;A13&amp;"*")</f>
        <v/>
      </c>
    </row>
    <row r="14">
      <c r="A14" s="18" t="inlineStr">
        <is>
          <t>SWC-SIM</t>
        </is>
      </c>
      <c r="B14" s="19" t="inlineStr">
        <is>
          <t>Board simulator</t>
        </is>
      </c>
      <c r="C14" s="19" t="inlineStr">
        <is>
          <t>SimBoard</t>
        </is>
      </c>
      <c r="D14" s="19" t="inlineStr">
        <is>
          <t>tools/apk7_gui.py</t>
        </is>
      </c>
      <c r="E14" s="18" t="inlineStr">
        <is>
          <t>Python threads</t>
        </is>
      </c>
      <c r="F14" s="19" t="inlineStr">
        <is>
          <t>Software twin of apk7.c.</t>
        </is>
      </c>
      <c r="G14" s="18">
        <f>COUNTIF('SW Requirements'!$E$5:$E$200,"*"&amp;A14&amp;"*")</f>
        <v/>
      </c>
    </row>
  </sheetData>
  <autoFilter ref="A4:G14"/>
  <pageMargins left="0.75" right="0.75" top="1" bottom="1" header="0.5" footer="0.5"/>
  <pageSetup orientation="landscape" fitToHeight="0" fitToWidth="1"/>
  <headerFooter>
    <oddHeader/>
    <oddFooter>&amp;LAPK7-SRS-001 v1.0&amp;RPage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8EA9DB"/>
    <outlinePr summaryBelow="1" summaryRight="1"/>
    <pageSetUpPr fitToPage="1"/>
  </sheetPr>
  <dimension ref="A1:K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1" customWidth="1" min="3" max="3"/>
    <col width="26" customWidth="1" min="4" max="4"/>
    <col width="40" customWidth="1" min="5" max="5"/>
    <col width="42" customWidth="1" min="6" max="6"/>
    <col width="24" customWidth="1" min="7" max="7"/>
    <col width="10" customWidth="1" min="8" max="8"/>
    <col width="11" customWidth="1" min="9" max="9"/>
    <col width="12" customWidth="1" min="10" max="10"/>
    <col width="20" customWidth="1" min="11" max="11"/>
  </cols>
  <sheetData>
    <row r="1">
      <c r="A1" s="11" t="inlineStr">
        <is>
          <t>Software Qualification Test Specification (SWE.6)</t>
        </is>
      </c>
    </row>
    <row r="2">
      <c r="A2" s="12" t="inlineStr">
        <is>
          <t>APK7-SRS-001  |  Version 1.0  |  Fill in Result, Date and Tester after each run</t>
        </is>
      </c>
    </row>
    <row r="4" ht="30" customHeight="1">
      <c r="A4" s="14" t="inlineStr">
        <is>
          <t>Test ID</t>
        </is>
      </c>
      <c r="B4" s="14" t="inlineStr">
        <is>
          <t>Title</t>
        </is>
      </c>
      <c r="C4" s="14" t="inlineStr">
        <is>
          <t>Method</t>
        </is>
      </c>
      <c r="D4" s="14" t="inlineStr">
        <is>
          <t>Precondition</t>
        </is>
      </c>
      <c r="E4" s="14" t="inlineStr">
        <is>
          <t>Steps</t>
        </is>
      </c>
      <c r="F4" s="14" t="inlineStr">
        <is>
          <t>Expected result</t>
        </is>
      </c>
      <c r="G4" s="14" t="inlineStr">
        <is>
          <t>Verifies</t>
        </is>
      </c>
      <c r="H4" s="14" t="inlineStr">
        <is>
          <t>Result</t>
        </is>
      </c>
      <c r="I4" s="14" t="inlineStr">
        <is>
          <t>Date</t>
        </is>
      </c>
      <c r="J4" s="14" t="inlineStr">
        <is>
          <t>Tester</t>
        </is>
      </c>
      <c r="K4" s="14" t="inlineStr">
        <is>
          <t>Remark</t>
        </is>
      </c>
    </row>
    <row r="5">
      <c r="A5" s="15" t="inlineStr">
        <is>
          <t>TC-01</t>
        </is>
      </c>
      <c r="B5" s="16" t="inlineStr">
        <is>
          <t>Link check</t>
        </is>
      </c>
      <c r="C5" s="15" t="inlineStr">
        <is>
          <t>Test</t>
        </is>
      </c>
      <c r="D5" s="16" t="inlineStr">
        <is>
          <t>Board running APK7, GUI connected</t>
        </is>
      </c>
      <c r="E5" s="16" t="inlineStr">
        <is>
          <t>Click PING.</t>
        </is>
      </c>
      <c r="F5" s="16" t="inlineStr">
        <is>
          <t>AA 81 55.</t>
        </is>
      </c>
      <c r="G5" s="16" t="inlineStr">
        <is>
          <t>SW-REQ-001</t>
        </is>
      </c>
      <c r="H5" s="17" t="inlineStr">
        <is>
          <t>Not run</t>
        </is>
      </c>
      <c r="I5" s="25" t="inlineStr"/>
      <c r="J5" s="25" t="inlineStr"/>
      <c r="K5" s="25" t="inlineStr"/>
    </row>
    <row r="6">
      <c r="A6" s="18" t="inlineStr">
        <is>
          <t>TC-02</t>
        </is>
      </c>
      <c r="B6" s="19" t="inlineStr">
        <is>
          <t>Button 1 then Button 2</t>
        </is>
      </c>
      <c r="C6" s="18" t="inlineStr">
        <is>
          <t>Test</t>
        </is>
      </c>
      <c r="D6" s="19" t="inlineStr">
        <is>
          <t>Idle</t>
        </is>
      </c>
      <c r="E6" s="19" t="inlineStr">
        <is>
          <t>Click BUTTON 1, then BUTTON 2.</t>
        </is>
      </c>
      <c r="F6" s="19" t="inlineStr">
        <is>
          <t>AA C0 00 + green LED; AA C1 00 + orange LED; AA 50 05; green/orange off, blue on; GUI lamps and countdown.</t>
        </is>
      </c>
      <c r="G6" s="19" t="inlineStr">
        <is>
          <t>SW-REQ-002, SW-REQ-005, SW-REQ-008, SW-REQ-009, SW-REQ-016, SW-REQ-017</t>
        </is>
      </c>
      <c r="H6" s="17" t="inlineStr">
        <is>
          <t>Not run</t>
        </is>
      </c>
      <c r="I6" s="25" t="inlineStr"/>
      <c r="J6" s="25" t="inlineStr"/>
      <c r="K6" s="25" t="inlineStr"/>
    </row>
    <row r="7">
      <c r="A7" s="15" t="inlineStr">
        <is>
          <t>TC-03</t>
        </is>
      </c>
      <c r="B7" s="16" t="inlineStr">
        <is>
          <t>Timer duration</t>
        </is>
      </c>
      <c r="C7" s="15" t="inlineStr">
        <is>
          <t>Test</t>
        </is>
      </c>
      <c r="D7" s="16" t="inlineStr">
        <is>
          <t>Run TC-02</t>
        </is>
      </c>
      <c r="E7" s="16" t="inlineStr">
        <is>
          <t>Wait for the end of the timer; compare log time stamps.</t>
        </is>
      </c>
      <c r="F7" s="16" t="inlineStr">
        <is>
          <t>AA 51 00 5 s (+/- 50 ms) after AA 50 05; blue LED off; GUI 'Timer expired'.</t>
        </is>
      </c>
      <c r="G7" s="16" t="inlineStr">
        <is>
          <t>SW-REQ-007, SW-REQ-009, SW-REQ-010, SW-REQ-011, SW-REQ-013, SW-REQ-017</t>
        </is>
      </c>
      <c r="H7" s="17" t="inlineStr">
        <is>
          <t>Not run</t>
        </is>
      </c>
      <c r="I7" s="25" t="inlineStr"/>
      <c r="J7" s="25" t="inlineStr"/>
      <c r="K7" s="25" t="inlineStr"/>
    </row>
    <row r="8">
      <c r="A8" s="18" t="inlineStr">
        <is>
          <t>TC-04</t>
        </is>
      </c>
      <c r="B8" s="19" t="inlineStr">
        <is>
          <t>Order and repetition</t>
        </is>
      </c>
      <c r="C8" s="18" t="inlineStr">
        <is>
          <t>Test</t>
        </is>
      </c>
      <c r="D8" s="19" t="inlineStr">
        <is>
          <t>Idle</t>
        </is>
      </c>
      <c r="E8" s="19" t="inlineStr">
        <is>
          <t>Click BUTTON 2, BUTTON 2, wait 3 s, BUTTON 1. Then click only BUTTON 1 and wait 10 s.</t>
        </is>
      </c>
      <c r="F8" s="19" t="inlineStr">
        <is>
          <t>One AA 50 05 after BUTTON 1; then nothing (only one button).</t>
        </is>
      </c>
      <c r="G8" s="19" t="inlineStr">
        <is>
          <t>SW-REQ-006, SW-REQ-008</t>
        </is>
      </c>
      <c r="H8" s="17" t="inlineStr">
        <is>
          <t>Not run</t>
        </is>
      </c>
      <c r="I8" s="25" t="inlineStr"/>
      <c r="J8" s="25" t="inlineStr"/>
      <c r="K8" s="25" t="inlineStr"/>
    </row>
    <row r="9">
      <c r="A9" s="15" t="inlineStr">
        <is>
          <t>TC-05</t>
        </is>
      </c>
      <c r="B9" s="16" t="inlineStr">
        <is>
          <t>Buttons while the timer runs</t>
        </is>
      </c>
      <c r="C9" s="15" t="inlineStr">
        <is>
          <t>Test</t>
        </is>
      </c>
      <c r="D9" s="16" t="inlineStr">
        <is>
          <t>Timer running</t>
        </is>
      </c>
      <c r="E9" s="16" t="inlineStr">
        <is>
          <t>Click BUTTON 1 and BUTTON 2 during the timer.</t>
        </is>
      </c>
      <c r="F9" s="16" t="inlineStr">
        <is>
          <t>After AA 51 00, a new AA 50 05 arrives immediately.</t>
        </is>
      </c>
      <c r="G9" s="16" t="inlineStr">
        <is>
          <t>SW-REQ-012</t>
        </is>
      </c>
      <c r="H9" s="17" t="inlineStr">
        <is>
          <t>Not run</t>
        </is>
      </c>
      <c r="I9" s="25" t="inlineStr"/>
      <c r="J9" s="25" t="inlineStr"/>
      <c r="K9" s="25" t="inlineStr"/>
    </row>
    <row r="10">
      <c r="A10" s="18" t="inlineStr">
        <is>
          <t>TC-06</t>
        </is>
      </c>
      <c r="B10" s="19" t="inlineStr">
        <is>
          <t>Unknown command and shared UART</t>
        </is>
      </c>
      <c r="C10" s="18" t="inlineStr">
        <is>
          <t>Test</t>
        </is>
      </c>
      <c r="D10" s="19" t="inlineStr">
        <is>
          <t>Connected</t>
        </is>
      </c>
      <c r="E10" s="19" t="inlineStr">
        <is>
          <t>Send AA 42 00 (custom tool) and run TC-02 while the board logs.</t>
        </is>
      </c>
      <c r="F10" s="19" t="inlineStr">
        <is>
          <t>AA C2 E1; no corrupted frame.</t>
        </is>
      </c>
      <c r="G10" s="19" t="inlineStr">
        <is>
          <t>SW-REQ-002, SW-REQ-015</t>
        </is>
      </c>
      <c r="H10" s="17" t="inlineStr">
        <is>
          <t>Not run</t>
        </is>
      </c>
      <c r="I10" s="25" t="inlineStr"/>
      <c r="J10" s="25" t="inlineStr"/>
      <c r="K10" s="25" t="inlineStr"/>
    </row>
    <row r="11">
      <c r="A11" s="15" t="inlineStr">
        <is>
          <t>TC-07</t>
        </is>
      </c>
      <c r="B11" s="16" t="inlineStr">
        <is>
          <t>Code review</t>
        </is>
      </c>
      <c r="C11" s="15" t="inlineStr">
        <is>
          <t>Review</t>
        </is>
      </c>
      <c r="D11" s="16" t="inlineStr">
        <is>
          <t>apk7.c / apk7_student.c</t>
        </is>
      </c>
      <c r="E11" s="16" t="inlineStr">
        <is>
          <t>Check event group, bits, timer type, callback, wait parameters, priorities, macros.</t>
        </is>
      </c>
      <c r="F11" s="16" t="inlineStr">
        <is>
          <t>All checklist items OK.</t>
        </is>
      </c>
      <c r="G11" s="16" t="inlineStr">
        <is>
          <t>SW-REQ-003, SW-REQ-004, SW-REQ-010, SW-REQ-014, SW-REQ-019</t>
        </is>
      </c>
      <c r="H11" s="17" t="inlineStr">
        <is>
          <t>Not run</t>
        </is>
      </c>
      <c r="I11" s="25" t="inlineStr"/>
      <c r="J11" s="25" t="inlineStr"/>
      <c r="K11" s="25" t="inlineStr"/>
    </row>
    <row r="12">
      <c r="A12" s="18" t="inlineStr">
        <is>
          <t>TC-08</t>
        </is>
      </c>
      <c r="B12" s="19" t="inlineStr">
        <is>
          <t>Simulator</t>
        </is>
      </c>
      <c r="C12" s="18" t="inlineStr">
        <is>
          <t>Test</t>
        </is>
      </c>
      <c r="D12" s="19" t="inlineStr">
        <is>
          <t>GUI, port 'Simulator (no board)'</t>
        </is>
      </c>
      <c r="E12" s="19" t="inlineStr">
        <is>
          <t>Repeat TC-02 to TC-05.</t>
        </is>
      </c>
      <c r="F12" s="19" t="inlineStr">
        <is>
          <t>Same results as the board.</t>
        </is>
      </c>
      <c r="G12" s="19" t="inlineStr">
        <is>
          <t>SW-REQ-018</t>
        </is>
      </c>
      <c r="H12" s="17" t="inlineStr">
        <is>
          <t>Not run</t>
        </is>
      </c>
      <c r="I12" s="25" t="inlineStr"/>
      <c r="J12" s="25" t="inlineStr"/>
      <c r="K12" s="25" t="inlineStr"/>
    </row>
  </sheetData>
  <autoFilter ref="A4:K12"/>
  <conditionalFormatting sqref="H5:H12">
    <cfRule type="cellIs" priority="1" operator="equal" dxfId="1">
      <formula>"Passed"</formula>
    </cfRule>
    <cfRule type="cellIs" priority="2" operator="equal" dxfId="2">
      <formula>"Failed"</formula>
    </cfRule>
  </conditionalFormatting>
  <dataValidations count="1">
    <dataValidation sqref="H5:H12" showDropDown="0" showInputMessage="0" showErrorMessage="0" allowBlank="1" errorTitle="Invalid value" error="Pick a value from the list" type="list">
      <formula1>"Not run,Passed,Failed,Blocked"</formula1>
    </dataValidation>
  </dataValidations>
  <pageMargins left="0.75" right="0.75" top="1" bottom="1" header="0.5" footer="0.5"/>
  <pageSetup orientation="landscape" fitToHeight="0" fitToWidth="1"/>
  <headerFooter>
    <oddHeader/>
    <oddFooter>&amp;LAPK7-SRS-001 v1.0&amp;RPage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8EA9DB"/>
    <outlinePr summaryBelow="1" summaryRight="1"/>
    <pageSetUpPr fitToPage="1"/>
  </sheetPr>
  <dimension ref="A1:L24"/>
  <sheetViews>
    <sheetView showGridLines="0" workbookViewId="0">
      <pane xSplit="2" ySplit="4" topLeftCell="C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8" customWidth="1" min="11" max="11"/>
    <col width="12" customWidth="1" min="12" max="12"/>
  </cols>
  <sheetData>
    <row r="1">
      <c r="A1" s="11" t="inlineStr">
        <is>
          <t>Traceability Matrix SW Requirement x Test Case</t>
        </is>
      </c>
    </row>
    <row r="2">
      <c r="A2" s="12" t="inlineStr">
        <is>
          <t>APK7-SRS-001  |  Version 1.0  |  X = test case verifies the requirement (bidirectional, ASPICE SWE.6 BP5)</t>
        </is>
      </c>
    </row>
    <row r="4" ht="50" customHeight="1">
      <c r="A4" s="14" t="inlineStr">
        <is>
          <t>SW req</t>
        </is>
      </c>
      <c r="B4" s="14" t="inlineStr">
        <is>
          <t>Title</t>
        </is>
      </c>
      <c r="C4" s="26" t="inlineStr">
        <is>
          <t>TC-01</t>
        </is>
      </c>
      <c r="D4" s="26" t="inlineStr">
        <is>
          <t>TC-02</t>
        </is>
      </c>
      <c r="E4" s="26" t="inlineStr">
        <is>
          <t>TC-03</t>
        </is>
      </c>
      <c r="F4" s="26" t="inlineStr">
        <is>
          <t>TC-04</t>
        </is>
      </c>
      <c r="G4" s="26" t="inlineStr">
        <is>
          <t>TC-05</t>
        </is>
      </c>
      <c r="H4" s="26" t="inlineStr">
        <is>
          <t>TC-06</t>
        </is>
      </c>
      <c r="I4" s="26" t="inlineStr">
        <is>
          <t>TC-07</t>
        </is>
      </c>
      <c r="J4" s="26" t="inlineStr">
        <is>
          <t>TC-08</t>
        </is>
      </c>
      <c r="K4" s="14" t="inlineStr">
        <is>
          <t># tests</t>
        </is>
      </c>
      <c r="L4" s="14" t="inlineStr">
        <is>
          <t>Coverage</t>
        </is>
      </c>
    </row>
    <row r="5">
      <c r="A5" s="15" t="inlineStr">
        <is>
          <t>SW-REQ-001</t>
        </is>
      </c>
      <c r="B5" s="16" t="inlineStr">
        <is>
          <t>Link layer</t>
        </is>
      </c>
      <c r="C5" s="15" t="inlineStr">
        <is>
          <t>X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>
        <f>COUNTIF(C5:J5,"X")</f>
        <v/>
      </c>
      <c r="L5" s="15">
        <f>IF(K5&gt;0,"Covered","NOT COVERED")</f>
        <v/>
      </c>
    </row>
    <row r="6">
      <c r="A6" s="18" t="inlineStr">
        <is>
          <t>SW-REQ-002</t>
        </is>
      </c>
      <c r="B6" s="19" t="inlineStr">
        <is>
          <t>Button commands</t>
        </is>
      </c>
      <c r="C6" s="18" t="inlineStr"/>
      <c r="D6" s="18" t="inlineStr">
        <is>
          <t>X</t>
        </is>
      </c>
      <c r="E6" s="18" t="inlineStr"/>
      <c r="F6" s="18" t="inlineStr"/>
      <c r="G6" s="18" t="inlineStr"/>
      <c r="H6" s="18" t="inlineStr">
        <is>
          <t>X</t>
        </is>
      </c>
      <c r="I6" s="18" t="inlineStr"/>
      <c r="J6" s="18" t="inlineStr"/>
      <c r="K6" s="18">
        <f>COUNTIF(C6:J6,"X")</f>
        <v/>
      </c>
      <c r="L6" s="18">
        <f>IF(K6&gt;0,"Covered","NOT COVERED")</f>
        <v/>
      </c>
    </row>
    <row r="7">
      <c r="A7" s="15" t="inlineStr">
        <is>
          <t>SW-REQ-003</t>
        </is>
      </c>
      <c r="B7" s="16" t="inlineStr">
        <is>
          <t>Event group</t>
        </is>
      </c>
      <c r="C7" s="15" t="inlineStr"/>
      <c r="D7" s="15" t="inlineStr"/>
      <c r="E7" s="15" t="inlineStr"/>
      <c r="F7" s="15" t="inlineStr"/>
      <c r="G7" s="15" t="inlineStr"/>
      <c r="H7" s="15" t="inlineStr"/>
      <c r="I7" s="15" t="inlineStr">
        <is>
          <t>X</t>
        </is>
      </c>
      <c r="J7" s="15" t="inlineStr"/>
      <c r="K7" s="15">
        <f>COUNTIF(C7:J7,"X")</f>
        <v/>
      </c>
      <c r="L7" s="15">
        <f>IF(K7&gt;0,"Covered","NOT COVERED")</f>
        <v/>
      </c>
    </row>
    <row r="8">
      <c r="A8" s="18" t="inlineStr">
        <is>
          <t>SW-REQ-004</t>
        </is>
      </c>
      <c r="B8" s="19" t="inlineStr">
        <is>
          <t>Event bits</t>
        </is>
      </c>
      <c r="C8" s="18" t="inlineStr"/>
      <c r="D8" s="18" t="inlineStr"/>
      <c r="E8" s="18" t="inlineStr"/>
      <c r="F8" s="18" t="inlineStr"/>
      <c r="G8" s="18" t="inlineStr"/>
      <c r="H8" s="18" t="inlineStr"/>
      <c r="I8" s="18" t="inlineStr">
        <is>
          <t>X</t>
        </is>
      </c>
      <c r="J8" s="18" t="inlineStr"/>
      <c r="K8" s="18">
        <f>COUNTIF(C8:J8,"X")</f>
        <v/>
      </c>
      <c r="L8" s="18">
        <f>IF(K8&gt;0,"Covered","NOT COVERED")</f>
        <v/>
      </c>
    </row>
    <row r="9">
      <c r="A9" s="15" t="inlineStr">
        <is>
          <t>SW-REQ-005</t>
        </is>
      </c>
      <c r="B9" s="16" t="inlineStr">
        <is>
          <t>Set button bits</t>
        </is>
      </c>
      <c r="C9" s="15" t="inlineStr"/>
      <c r="D9" s="15" t="inlineStr">
        <is>
          <t>X</t>
        </is>
      </c>
      <c r="E9" s="15" t="inlineStr"/>
      <c r="F9" s="15" t="inlineStr"/>
      <c r="G9" s="15" t="inlineStr"/>
      <c r="H9" s="15" t="inlineStr"/>
      <c r="I9" s="15" t="inlineStr"/>
      <c r="J9" s="15" t="inlineStr"/>
      <c r="K9" s="15">
        <f>COUNTIF(C9:J9,"X")</f>
        <v/>
      </c>
      <c r="L9" s="15">
        <f>IF(K9&gt;0,"Covered","NOT COVERED")</f>
        <v/>
      </c>
    </row>
    <row r="10">
      <c r="A10" s="18" t="inlineStr">
        <is>
          <t>SW-REQ-006</t>
        </is>
      </c>
      <c r="B10" s="19" t="inlineStr">
        <is>
          <t>Repeated button</t>
        </is>
      </c>
      <c r="C10" s="18" t="inlineStr"/>
      <c r="D10" s="18" t="inlineStr"/>
      <c r="E10" s="18" t="inlineStr"/>
      <c r="F10" s="18" t="inlineStr">
        <is>
          <t>X</t>
        </is>
      </c>
      <c r="G10" s="18" t="inlineStr"/>
      <c r="H10" s="18" t="inlineStr"/>
      <c r="I10" s="18" t="inlineStr"/>
      <c r="J10" s="18" t="inlineStr"/>
      <c r="K10" s="18">
        <f>COUNTIF(C10:J10,"X")</f>
        <v/>
      </c>
      <c r="L10" s="18">
        <f>IF(K10&gt;0,"Covered","NOT COVERED")</f>
        <v/>
      </c>
    </row>
    <row r="11">
      <c r="A11" s="15" t="inlineStr">
        <is>
          <t>SW-REQ-007</t>
        </is>
      </c>
      <c r="B11" s="16" t="inlineStr">
        <is>
          <t>Timer creation</t>
        </is>
      </c>
      <c r="C11" s="15" t="inlineStr"/>
      <c r="D11" s="15" t="inlineStr"/>
      <c r="E11" s="15" t="inlineStr">
        <is>
          <t>X</t>
        </is>
      </c>
      <c r="F11" s="15" t="inlineStr"/>
      <c r="G11" s="15" t="inlineStr"/>
      <c r="H11" s="15" t="inlineStr"/>
      <c r="I11" s="15" t="inlineStr"/>
      <c r="J11" s="15" t="inlineStr"/>
      <c r="K11" s="15">
        <f>COUNTIF(C11:J11,"X")</f>
        <v/>
      </c>
      <c r="L11" s="15">
        <f>IF(K11&gt;0,"Covered","NOT COVERED")</f>
        <v/>
      </c>
    </row>
    <row r="12">
      <c r="A12" s="18" t="inlineStr">
        <is>
          <t>SW-REQ-008</t>
        </is>
      </c>
      <c r="B12" s="19" t="inlineStr">
        <is>
          <t>Wait for both buttons</t>
        </is>
      </c>
      <c r="C12" s="18" t="inlineStr"/>
      <c r="D12" s="18" t="inlineStr">
        <is>
          <t>X</t>
        </is>
      </c>
      <c r="E12" s="18" t="inlineStr"/>
      <c r="F12" s="18" t="inlineStr">
        <is>
          <t>X</t>
        </is>
      </c>
      <c r="G12" s="18" t="inlineStr"/>
      <c r="H12" s="18" t="inlineStr"/>
      <c r="I12" s="18" t="inlineStr"/>
      <c r="J12" s="18" t="inlineStr"/>
      <c r="K12" s="18">
        <f>COUNTIF(C12:J12,"X")</f>
        <v/>
      </c>
      <c r="L12" s="18">
        <f>IF(K12&gt;0,"Covered","NOT COVERED")</f>
        <v/>
      </c>
    </row>
    <row r="13">
      <c r="A13" s="15" t="inlineStr">
        <is>
          <t>SW-REQ-009</t>
        </is>
      </c>
      <c r="B13" s="16" t="inlineStr">
        <is>
          <t>Start the timer</t>
        </is>
      </c>
      <c r="C13" s="15" t="inlineStr"/>
      <c r="D13" s="15" t="inlineStr">
        <is>
          <t>X</t>
        </is>
      </c>
      <c r="E13" s="15" t="inlineStr">
        <is>
          <t>X</t>
        </is>
      </c>
      <c r="F13" s="15" t="inlineStr"/>
      <c r="G13" s="15" t="inlineStr"/>
      <c r="H13" s="15" t="inlineStr"/>
      <c r="I13" s="15" t="inlineStr"/>
      <c r="J13" s="15" t="inlineStr"/>
      <c r="K13" s="15">
        <f>COUNTIF(C13:J13,"X")</f>
        <v/>
      </c>
      <c r="L13" s="15">
        <f>IF(K13&gt;0,"Covered","NOT COVERED")</f>
        <v/>
      </c>
    </row>
    <row r="14">
      <c r="A14" s="18" t="inlineStr">
        <is>
          <t>SW-REQ-010</t>
        </is>
      </c>
      <c r="B14" s="19" t="inlineStr">
        <is>
          <t>Timer callback</t>
        </is>
      </c>
      <c r="C14" s="18" t="inlineStr"/>
      <c r="D14" s="18" t="inlineStr"/>
      <c r="E14" s="18" t="inlineStr">
        <is>
          <t>X</t>
        </is>
      </c>
      <c r="F14" s="18" t="inlineStr"/>
      <c r="G14" s="18" t="inlineStr"/>
      <c r="H14" s="18" t="inlineStr"/>
      <c r="I14" s="18" t="inlineStr">
        <is>
          <t>X</t>
        </is>
      </c>
      <c r="J14" s="18" t="inlineStr"/>
      <c r="K14" s="18">
        <f>COUNTIF(C14:J14,"X")</f>
        <v/>
      </c>
      <c r="L14" s="18">
        <f>IF(K14&gt;0,"Covered","NOT COVERED")</f>
        <v/>
      </c>
    </row>
    <row r="15">
      <c r="A15" s="15" t="inlineStr">
        <is>
          <t>SW-REQ-011</t>
        </is>
      </c>
      <c r="B15" s="16" t="inlineStr">
        <is>
          <t>Timer expiry</t>
        </is>
      </c>
      <c r="C15" s="15" t="inlineStr"/>
      <c r="D15" s="15" t="inlineStr"/>
      <c r="E15" s="15" t="inlineStr">
        <is>
          <t>X</t>
        </is>
      </c>
      <c r="F15" s="15" t="inlineStr"/>
      <c r="G15" s="15" t="inlineStr"/>
      <c r="H15" s="15" t="inlineStr"/>
      <c r="I15" s="15" t="inlineStr"/>
      <c r="J15" s="15" t="inlineStr"/>
      <c r="K15" s="15">
        <f>COUNTIF(C15:J15,"X")</f>
        <v/>
      </c>
      <c r="L15" s="15">
        <f>IF(K15&gt;0,"Covered","NOT COVERED")</f>
        <v/>
      </c>
    </row>
    <row r="16">
      <c r="A16" s="18" t="inlineStr">
        <is>
          <t>SW-REQ-012</t>
        </is>
      </c>
      <c r="B16" s="19" t="inlineStr">
        <is>
          <t>Buttons during the timer</t>
        </is>
      </c>
      <c r="C16" s="18" t="inlineStr"/>
      <c r="D16" s="18" t="inlineStr"/>
      <c r="E16" s="18" t="inlineStr"/>
      <c r="F16" s="18" t="inlineStr"/>
      <c r="G16" s="18" t="inlineStr">
        <is>
          <t>X</t>
        </is>
      </c>
      <c r="H16" s="18" t="inlineStr"/>
      <c r="I16" s="18" t="inlineStr"/>
      <c r="J16" s="18" t="inlineStr"/>
      <c r="K16" s="18">
        <f>COUNTIF(C16:J16,"X")</f>
        <v/>
      </c>
      <c r="L16" s="18">
        <f>IF(K16&gt;0,"Covered","NOT COVERED")</f>
        <v/>
      </c>
    </row>
    <row r="17">
      <c r="A17" s="15" t="inlineStr">
        <is>
          <t>SW-REQ-013</t>
        </is>
      </c>
      <c r="B17" s="16" t="inlineStr">
        <is>
          <t>Timer accuracy</t>
        </is>
      </c>
      <c r="C17" s="15" t="inlineStr"/>
      <c r="D17" s="15" t="inlineStr"/>
      <c r="E17" s="15" t="inlineStr">
        <is>
          <t>X</t>
        </is>
      </c>
      <c r="F17" s="15" t="inlineStr"/>
      <c r="G17" s="15" t="inlineStr"/>
      <c r="H17" s="15" t="inlineStr"/>
      <c r="I17" s="15" t="inlineStr"/>
      <c r="J17" s="15" t="inlineStr"/>
      <c r="K17" s="15">
        <f>COUNTIF(C17:J17,"X")</f>
        <v/>
      </c>
      <c r="L17" s="15">
        <f>IF(K17&gt;0,"Covered","NOT COVERED")</f>
        <v/>
      </c>
    </row>
    <row r="18">
      <c r="A18" s="18" t="inlineStr">
        <is>
          <t>SW-REQ-014</t>
        </is>
      </c>
      <c r="B18" s="19" t="inlineStr">
        <is>
          <t>Priorities</t>
        </is>
      </c>
      <c r="C18" s="18" t="inlineStr"/>
      <c r="D18" s="18" t="inlineStr"/>
      <c r="E18" s="18" t="inlineStr"/>
      <c r="F18" s="18" t="inlineStr"/>
      <c r="G18" s="18" t="inlineStr"/>
      <c r="H18" s="18" t="inlineStr"/>
      <c r="I18" s="18" t="inlineStr">
        <is>
          <t>X</t>
        </is>
      </c>
      <c r="J18" s="18" t="inlineStr"/>
      <c r="K18" s="18">
        <f>COUNTIF(C18:J18,"X")</f>
        <v/>
      </c>
      <c r="L18" s="18">
        <f>IF(K18&gt;0,"Covered","NOT COVERED")</f>
        <v/>
      </c>
    </row>
    <row r="19">
      <c r="A19" s="15" t="inlineStr">
        <is>
          <t>SW-REQ-015</t>
        </is>
      </c>
      <c r="B19" s="16" t="inlineStr">
        <is>
          <t>Shared UART</t>
        </is>
      </c>
      <c r="C19" s="15" t="inlineStr"/>
      <c r="D19" s="15" t="inlineStr"/>
      <c r="E19" s="15" t="inlineStr"/>
      <c r="F19" s="15" t="inlineStr"/>
      <c r="G19" s="15" t="inlineStr"/>
      <c r="H19" s="15" t="inlineStr">
        <is>
          <t>X</t>
        </is>
      </c>
      <c r="I19" s="15" t="inlineStr"/>
      <c r="J19" s="15" t="inlineStr"/>
      <c r="K19" s="15">
        <f>COUNTIF(C19:J19,"X")</f>
        <v/>
      </c>
      <c r="L19" s="15">
        <f>IF(K19&gt;0,"Covered","NOT COVERED")</f>
        <v/>
      </c>
    </row>
    <row r="20">
      <c r="A20" s="18" t="inlineStr">
        <is>
          <t>SW-REQ-016</t>
        </is>
      </c>
      <c r="B20" s="19" t="inlineStr">
        <is>
          <t>GUI buttons</t>
        </is>
      </c>
      <c r="C20" s="18" t="inlineStr"/>
      <c r="D20" s="18" t="inlineStr">
        <is>
          <t>X</t>
        </is>
      </c>
      <c r="E20" s="18" t="inlineStr"/>
      <c r="F20" s="18" t="inlineStr"/>
      <c r="G20" s="18" t="inlineStr"/>
      <c r="H20" s="18" t="inlineStr"/>
      <c r="I20" s="18" t="inlineStr"/>
      <c r="J20" s="18" t="inlineStr"/>
      <c r="K20" s="18">
        <f>COUNTIF(C20:J20,"X")</f>
        <v/>
      </c>
      <c r="L20" s="18">
        <f>IF(K20&gt;0,"Covered","NOT COVERED")</f>
        <v/>
      </c>
    </row>
    <row r="21">
      <c r="A21" s="15" t="inlineStr">
        <is>
          <t>SW-REQ-017</t>
        </is>
      </c>
      <c r="B21" s="16" t="inlineStr">
        <is>
          <t>GUI display</t>
        </is>
      </c>
      <c r="C21" s="15" t="inlineStr"/>
      <c r="D21" s="15" t="inlineStr">
        <is>
          <t>X</t>
        </is>
      </c>
      <c r="E21" s="15" t="inlineStr">
        <is>
          <t>X</t>
        </is>
      </c>
      <c r="F21" s="15" t="inlineStr"/>
      <c r="G21" s="15" t="inlineStr"/>
      <c r="H21" s="15" t="inlineStr"/>
      <c r="I21" s="15" t="inlineStr"/>
      <c r="J21" s="15" t="inlineStr"/>
      <c r="K21" s="15">
        <f>COUNTIF(C21:J21,"X")</f>
        <v/>
      </c>
      <c r="L21" s="15">
        <f>IF(K21&gt;0,"Covered","NOT COVERED")</f>
        <v/>
      </c>
    </row>
    <row r="22">
      <c r="A22" s="18" t="inlineStr">
        <is>
          <t>SW-REQ-018</t>
        </is>
      </c>
      <c r="B22" s="19" t="inlineStr">
        <is>
          <t>Simulator</t>
        </is>
      </c>
      <c r="C22" s="18" t="inlineStr"/>
      <c r="D22" s="18" t="inlineStr"/>
      <c r="E22" s="18" t="inlineStr"/>
      <c r="F22" s="18" t="inlineStr"/>
      <c r="G22" s="18" t="inlineStr"/>
      <c r="H22" s="18" t="inlineStr"/>
      <c r="I22" s="18" t="inlineStr"/>
      <c r="J22" s="18" t="inlineStr">
        <is>
          <t>X</t>
        </is>
      </c>
      <c r="K22" s="18">
        <f>COUNTIF(C22:J22,"X")</f>
        <v/>
      </c>
      <c r="L22" s="18">
        <f>IF(K22&gt;0,"Covered","NOT COVERED")</f>
        <v/>
      </c>
    </row>
    <row r="23">
      <c r="A23" s="15" t="inlineStr">
        <is>
          <t>SW-REQ-019</t>
        </is>
      </c>
      <c r="B23" s="16" t="inlineStr">
        <is>
          <t>Build selection</t>
        </is>
      </c>
      <c r="C23" s="15" t="inlineStr"/>
      <c r="D23" s="15" t="inlineStr"/>
      <c r="E23" s="15" t="inlineStr"/>
      <c r="F23" s="15" t="inlineStr"/>
      <c r="G23" s="15" t="inlineStr"/>
      <c r="H23" s="15" t="inlineStr"/>
      <c r="I23" s="15" t="inlineStr">
        <is>
          <t>X</t>
        </is>
      </c>
      <c r="J23" s="15" t="inlineStr"/>
      <c r="K23" s="15">
        <f>COUNTIF(C23:J23,"X")</f>
        <v/>
      </c>
      <c r="L23" s="15">
        <f>IF(K23&gt;0,"Covered","NOT COVERED")</f>
        <v/>
      </c>
    </row>
    <row r="24">
      <c r="A24" s="8" t="inlineStr">
        <is>
          <t># reqs</t>
        </is>
      </c>
      <c r="C24" s="27">
        <f>COUNTIF(C5:C23,"X")</f>
        <v/>
      </c>
      <c r="D24" s="27">
        <f>COUNTIF(D5:D23,"X")</f>
        <v/>
      </c>
      <c r="E24" s="27">
        <f>COUNTIF(E5:E23,"X")</f>
        <v/>
      </c>
      <c r="F24" s="27">
        <f>COUNTIF(F5:F23,"X")</f>
        <v/>
      </c>
      <c r="G24" s="27">
        <f>COUNTIF(G5:G23,"X")</f>
        <v/>
      </c>
      <c r="H24" s="27">
        <f>COUNTIF(H5:H23,"X")</f>
        <v/>
      </c>
      <c r="I24" s="27">
        <f>COUNTIF(I5:I23,"X")</f>
        <v/>
      </c>
      <c r="J24" s="27">
        <f>COUNTIF(J5:J23,"X")</f>
        <v/>
      </c>
    </row>
  </sheetData>
  <autoFilter ref="A4:L23"/>
  <conditionalFormatting sqref="C5:J23">
    <cfRule type="cellIs" priority="1" operator="equal" dxfId="3">
      <formula>"X"</formula>
    </cfRule>
  </conditionalFormatting>
  <conditionalFormatting sqref="L5:L23">
    <cfRule type="cellIs" priority="2" operator="equal" dxfId="2">
      <formula>"NOT COVERED"</formula>
    </cfRule>
    <cfRule type="cellIs" priority="3" operator="equal" dxfId="1">
      <formula>"Covered"</formula>
    </cfRule>
  </conditionalFormatting>
  <conditionalFormatting sqref="C24:J24">
    <cfRule type="cellIs" priority="4" operator="equal" dxfId="2">
      <formula>0</formula>
    </cfRule>
  </conditionalFormatting>
  <pageMargins left="0.75" right="0.75" top="1" bottom="1" header="0.5" footer="0.5"/>
  <pageSetup orientation="landscape" fitToHeight="0" fitToWidth="1"/>
  <headerFooter>
    <oddHeader/>
    <oddFooter>&amp;LAPK7-SRS-001 v1.0&amp;RPage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C4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11" t="inlineStr">
        <is>
          <t>Dashboard</t>
        </is>
      </c>
    </row>
    <row r="2">
      <c r="A2" s="12" t="inlineStr">
        <is>
          <t>APK7-SRS-001  |  Version 1.0  |  All values are formulas - they update when the sheets change</t>
        </is>
      </c>
    </row>
    <row r="4">
      <c r="A4" s="22" t="inlineStr">
        <is>
          <t>Total SW requirements</t>
        </is>
      </c>
      <c r="B4" s="4">
        <f>COUNTA('SW Requirements'!$A$5:$A$23)</f>
        <v/>
      </c>
      <c r="C4" s="4" t="n"/>
    </row>
    <row r="5">
      <c r="A5" s="22" t="inlineStr">
        <is>
          <t>Total system requirements</t>
        </is>
      </c>
      <c r="B5" s="4">
        <f>COUNTA('System Requirements'!$A$5:$A$10)</f>
        <v/>
      </c>
      <c r="C5" s="4" t="n"/>
    </row>
    <row r="6">
      <c r="A6" s="22" t="inlineStr">
        <is>
          <t>Total test cases</t>
        </is>
      </c>
      <c r="B6" s="4">
        <f>COUNTA('Test Specification'!$A$5:$A$12)</f>
        <v/>
      </c>
      <c r="C6" s="4" t="n"/>
    </row>
    <row r="7">
      <c r="A7" s="22" t="inlineStr">
        <is>
          <t>SW reqs covered by a test</t>
        </is>
      </c>
      <c r="B7" s="4">
        <f>COUNTIF(Traceability!$L$5:$L$23,"Covered")</f>
        <v/>
      </c>
      <c r="C7" s="28">
        <f>IF(B4=0,0,B7/B4)</f>
        <v/>
      </c>
    </row>
    <row r="8">
      <c r="A8" s="22" t="inlineStr">
        <is>
          <t>SYS reqs without SW req</t>
        </is>
      </c>
      <c r="B8" s="4">
        <f>COUNTIF('System Requirements'!$I$5:$I$10,0)</f>
        <v/>
      </c>
      <c r="C8" s="4" t="n"/>
    </row>
    <row r="9">
      <c r="A9" s="22" t="inlineStr">
        <is>
          <t>SW reqs with invalid parent</t>
        </is>
      </c>
      <c r="B9" s="4">
        <f>COUNTIF('SW Requirements'!$N$5:$N$23,"MISSING")</f>
        <v/>
      </c>
      <c r="C9" s="4" t="n"/>
    </row>
    <row r="11">
      <c r="A11" s="6" t="inlineStr">
        <is>
          <t>SW requirements by status</t>
        </is>
      </c>
    </row>
    <row r="12">
      <c r="A12" s="7" t="inlineStr">
        <is>
          <t>Status</t>
        </is>
      </c>
      <c r="B12" s="7" t="inlineStr">
        <is>
          <t>Count</t>
        </is>
      </c>
      <c r="C12" s="7" t="inlineStr">
        <is>
          <t>Share</t>
        </is>
      </c>
    </row>
    <row r="13">
      <c r="A13" s="4" t="inlineStr">
        <is>
          <t>Draft</t>
        </is>
      </c>
      <c r="B13" s="4">
        <f>COUNTIF('SW Requirements'!$I$5:$I$23,A13)</f>
        <v/>
      </c>
      <c r="C13" s="28">
        <f>IF($B$4=0,0,B13/$B$4)</f>
        <v/>
      </c>
    </row>
    <row r="14">
      <c r="A14" s="4" t="inlineStr">
        <is>
          <t>In review</t>
        </is>
      </c>
      <c r="B14" s="4">
        <f>COUNTIF('SW Requirements'!$I$5:$I$23,A14)</f>
        <v/>
      </c>
      <c r="C14" s="28">
        <f>IF($B$4=0,0,B14/$B$4)</f>
        <v/>
      </c>
    </row>
    <row r="15">
      <c r="A15" s="4" t="inlineStr">
        <is>
          <t>Accepted</t>
        </is>
      </c>
      <c r="B15" s="4">
        <f>COUNTIF('SW Requirements'!$I$5:$I$23,A15)</f>
        <v/>
      </c>
      <c r="C15" s="28">
        <f>IF($B$4=0,0,B15/$B$4)</f>
        <v/>
      </c>
    </row>
    <row r="16">
      <c r="A16" s="4" t="inlineStr">
        <is>
          <t>Rejected</t>
        </is>
      </c>
      <c r="B16" s="4">
        <f>COUNTIF('SW Requirements'!$I$5:$I$23,A16)</f>
        <v/>
      </c>
      <c r="C16" s="28">
        <f>IF($B$4=0,0,B16/$B$4)</f>
        <v/>
      </c>
    </row>
    <row r="17">
      <c r="A17" s="4" t="inlineStr">
        <is>
          <t>Deferred</t>
        </is>
      </c>
      <c r="B17" s="4">
        <f>COUNTIF('SW Requirements'!$I$5:$I$23,A17)</f>
        <v/>
      </c>
      <c r="C17" s="28">
        <f>IF($B$4=0,0,B17/$B$4)</f>
        <v/>
      </c>
    </row>
    <row r="20">
      <c r="A20" s="6" t="inlineStr">
        <is>
          <t>SW requirements by type</t>
        </is>
      </c>
    </row>
    <row r="21">
      <c r="A21" s="7" t="inlineStr">
        <is>
          <t>Type</t>
        </is>
      </c>
      <c r="B21" s="7" t="inlineStr">
        <is>
          <t>Count</t>
        </is>
      </c>
      <c r="C21" s="7" t="inlineStr">
        <is>
          <t>Share</t>
        </is>
      </c>
    </row>
    <row r="22">
      <c r="A22" s="4" t="inlineStr">
        <is>
          <t>Functional</t>
        </is>
      </c>
      <c r="B22" s="4">
        <f>COUNTIF('SW Requirements'!$D$5:$D$23,A22)</f>
        <v/>
      </c>
      <c r="C22" s="28">
        <f>IF($B$4=0,0,B22/$B$4)</f>
        <v/>
      </c>
    </row>
    <row r="23">
      <c r="A23" s="4" t="inlineStr">
        <is>
          <t>Non-functional</t>
        </is>
      </c>
      <c r="B23" s="4">
        <f>COUNTIF('SW Requirements'!$D$5:$D$23,A23)</f>
        <v/>
      </c>
      <c r="C23" s="28">
        <f>IF($B$4=0,0,B23/$B$4)</f>
        <v/>
      </c>
    </row>
    <row r="24">
      <c r="A24" s="4" t="inlineStr">
        <is>
          <t>Interface</t>
        </is>
      </c>
      <c r="B24" s="4">
        <f>COUNTIF('SW Requirements'!$D$5:$D$23,A24)</f>
        <v/>
      </c>
      <c r="C24" s="28">
        <f>IF($B$4=0,0,B24/$B$4)</f>
        <v/>
      </c>
    </row>
    <row r="25">
      <c r="A25" s="4" t="inlineStr">
        <is>
          <t>Performance</t>
        </is>
      </c>
      <c r="B25" s="4">
        <f>COUNTIF('SW Requirements'!$D$5:$D$23,A25)</f>
        <v/>
      </c>
      <c r="C25" s="28">
        <f>IF($B$4=0,0,B25/$B$4)</f>
        <v/>
      </c>
    </row>
    <row r="26">
      <c r="A26" s="4" t="inlineStr">
        <is>
          <t>Constraint</t>
        </is>
      </c>
      <c r="B26" s="4">
        <f>COUNTIF('SW Requirements'!$D$5:$D$23,A26)</f>
        <v/>
      </c>
      <c r="C26" s="28">
        <f>IF($B$4=0,0,B26/$B$4)</f>
        <v/>
      </c>
    </row>
    <row r="29">
      <c r="A29" s="6" t="inlineStr">
        <is>
          <t>SW requirements by verification method</t>
        </is>
      </c>
    </row>
    <row r="30">
      <c r="A30" s="7" t="inlineStr">
        <is>
          <t>Method</t>
        </is>
      </c>
      <c r="B30" s="7" t="inlineStr">
        <is>
          <t>Count</t>
        </is>
      </c>
      <c r="C30" s="7" t="inlineStr">
        <is>
          <t>Share</t>
        </is>
      </c>
    </row>
    <row r="31">
      <c r="A31" s="4" t="inlineStr">
        <is>
          <t>Test</t>
        </is>
      </c>
      <c r="B31" s="4">
        <f>COUNTIF('SW Requirements'!$J$5:$J$23,A31)</f>
        <v/>
      </c>
      <c r="C31" s="28">
        <f>IF($B$4=0,0,B31/$B$4)</f>
        <v/>
      </c>
    </row>
    <row r="32">
      <c r="A32" s="4" t="inlineStr">
        <is>
          <t>Analysis</t>
        </is>
      </c>
      <c r="B32" s="4">
        <f>COUNTIF('SW Requirements'!$J$5:$J$23,A32)</f>
        <v/>
      </c>
      <c r="C32" s="28">
        <f>IF($B$4=0,0,B32/$B$4)</f>
        <v/>
      </c>
    </row>
    <row r="33">
      <c r="A33" s="4" t="inlineStr">
        <is>
          <t>Review</t>
        </is>
      </c>
      <c r="B33" s="4">
        <f>COUNTIF('SW Requirements'!$J$5:$J$23,A33)</f>
        <v/>
      </c>
      <c r="C33" s="28">
        <f>IF($B$4=0,0,B33/$B$4)</f>
        <v/>
      </c>
    </row>
    <row r="34">
      <c r="A34" s="4" t="inlineStr">
        <is>
          <t>Inspection</t>
        </is>
      </c>
      <c r="B34" s="4">
        <f>COUNTIF('SW Requirements'!$J$5:$J$23,A34)</f>
        <v/>
      </c>
      <c r="C34" s="28">
        <f>IF($B$4=0,0,B34/$B$4)</f>
        <v/>
      </c>
    </row>
    <row r="35">
      <c r="A35" s="4" t="inlineStr">
        <is>
          <t>Demonstration</t>
        </is>
      </c>
      <c r="B35" s="4">
        <f>COUNTIF('SW Requirements'!$J$5:$J$23,A35)</f>
        <v/>
      </c>
      <c r="C35" s="28">
        <f>IF($B$4=0,0,B35/$B$4)</f>
        <v/>
      </c>
    </row>
    <row r="38">
      <c r="A38" s="6" t="inlineStr">
        <is>
          <t>Test results</t>
        </is>
      </c>
    </row>
    <row r="39">
      <c r="A39" s="7" t="inlineStr">
        <is>
          <t>Result</t>
        </is>
      </c>
      <c r="B39" s="7" t="inlineStr">
        <is>
          <t>Count</t>
        </is>
      </c>
      <c r="C39" s="7" t="inlineStr">
        <is>
          <t>Share</t>
        </is>
      </c>
    </row>
    <row r="40">
      <c r="A40" s="4" t="inlineStr">
        <is>
          <t>Not run</t>
        </is>
      </c>
      <c r="B40" s="4">
        <f>COUNTIF('Test Specification'!$H$5:$H$12,A40)</f>
        <v/>
      </c>
      <c r="C40" s="28">
        <f>IF($B$6=0,0,B40/$B$6)</f>
        <v/>
      </c>
    </row>
    <row r="41">
      <c r="A41" s="4" t="inlineStr">
        <is>
          <t>Passed</t>
        </is>
      </c>
      <c r="B41" s="4">
        <f>COUNTIF('Test Specification'!$H$5:$H$12,A41)</f>
        <v/>
      </c>
      <c r="C41" s="28">
        <f>IF($B$6=0,0,B41/$B$6)</f>
        <v/>
      </c>
    </row>
    <row r="42">
      <c r="A42" s="4" t="inlineStr">
        <is>
          <t>Failed</t>
        </is>
      </c>
      <c r="B42" s="4">
        <f>COUNTIF('Test Specification'!$H$5:$H$12,A42)</f>
        <v/>
      </c>
      <c r="C42" s="28">
        <f>IF($B$6=0,0,B42/$B$6)</f>
        <v/>
      </c>
    </row>
    <row r="43">
      <c r="A43" s="4" t="inlineStr">
        <is>
          <t>Blocked</t>
        </is>
      </c>
      <c r="B43" s="4">
        <f>COUNTIF('Test Specification'!$H$5:$H$12,A43)</f>
        <v/>
      </c>
      <c r="C43" s="28">
        <f>IF($B$6=0,0,B43/$B$6)</f>
        <v/>
      </c>
    </row>
  </sheetData>
  <conditionalFormatting sqref="B8:B9">
    <cfRule type="cellIs" priority="1" operator="greaterThan" dxfId="2">
      <formula>0</formula>
    </cfRule>
  </conditionalFormatting>
  <pageMargins left="0.75" right="0.75" top="1" bottom="1" header="0.5" footer="0.5"/>
  <pageSetup orientation="landscape" fitToHeight="0" fitToWidth="1"/>
  <headerFooter>
    <oddHeader/>
    <oddFooter>&amp;LAPK7-SRS-001 v1.0&amp;RPage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2026-10-11T07:15:26Z</dcterms:created>
  <dcterms:modified xsi:type="dcterms:W3CDTF">2026-10-11T07:15:26Z</dcterms:modified>
</cp:coreProperties>
</file>